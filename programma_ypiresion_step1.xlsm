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worksheets/sheet5.xml" ContentType="application/vnd.openxmlformats-officedocument.spreadsheetml.worksheet+xml"/>
  <Override PartName="/xl/comments/comment1.xml" ContentType="application/vnd.openxmlformats-officedocument.spreadsheetml.comments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849" firstSheet="0" activeTab="5" autoFilterDateGrouping="1"/>
  </bookViews>
  <sheets>
    <sheet name="Instructions" sheetId="1" state="visible" r:id="rId1"/>
    <sheet name="Schedule_2026_03" sheetId="2" state="visible" r:id="rId2"/>
    <sheet name="Needs" sheetId="3" state="visible" r:id="rId3"/>
    <sheet name="Stats_2026_3" sheetId="4" state="visible" r:id="rId4"/>
    <sheet name="Personnel" sheetId="5" state="visible" r:id="rId5"/>
    <sheet name="Schedule" sheetId="6" state="visible" r:id="rId6"/>
    <sheet name="Stats" sheetId="7" state="visible" r:id="rId7"/>
    <sheet name="CarryOver" sheetId="8" state="visible" r:id="rId8"/>
    <sheet name="Adeies" sheetId="9" state="visible" r:id="rId9"/>
    <sheet name="Snapshot" sheetId="10" state="hidden" r:id="rId10"/>
    <sheet name="Violations" sheetId="11" state="visible" r:id="rId11"/>
    <sheet name="Exclusions" sheetId="12" state="hidden" r:id="rId12"/>
  </sheets>
  <definedNames>
    <definedName name="_xleta.COUNT" hidden="1" xlm="1">#NAME?</definedName>
    <definedName name="_xlnm._FilterDatabase" localSheetId="4" hidden="1">'Personnel'!$A$1:$B$112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dd/mm/yyyy"/>
    <numFmt numFmtId="165" formatCode="dd/mm"/>
    <numFmt numFmtId="166" formatCode="yyyy\-mm\-dd"/>
    <numFmt numFmtId="167" formatCode="yyyy-mm-dd"/>
  </numFmts>
  <fonts count="9">
    <font>
      <name val="Calibri"/>
      <family val="2"/>
      <color theme="1"/>
      <sz val="11"/>
      <scheme val="minor"/>
    </font>
    <font>
      <name val="Calibri"/>
      <family val="2"/>
      <b val="1"/>
      <sz val="14"/>
    </font>
    <font>
      <name val="Calibri"/>
      <family val="2"/>
      <b val="1"/>
      <color rgb="FFFFFFFF"/>
      <sz val="11"/>
    </font>
    <font>
      <name val="Calibri"/>
      <family val="2"/>
      <b val="1"/>
      <sz val="11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FFFFFF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sz val="11"/>
    </font>
    <font>
      <b val="1"/>
    </font>
  </fonts>
  <fills count="17">
    <fill>
      <patternFill/>
    </fill>
    <fill>
      <patternFill patternType="gray125"/>
    </fill>
    <fill>
      <patternFill patternType="solid">
        <fgColor rgb="FF1F4E78"/>
      </patternFill>
    </fill>
    <fill>
      <patternFill patternType="solid">
        <fgColor rgb="FFF9FBFD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0000"/>
        <bgColor rgb="FFFCE4D6"/>
      </patternFill>
    </fill>
    <fill>
      <patternFill patternType="solid">
        <fgColor rgb="FFFFFF00"/>
        <bgColor rgb="FFFFFF00"/>
      </patternFill>
    </fill>
    <fill>
      <patternFill patternType="solid">
        <fgColor rgb="FFFF6666"/>
        <bgColor rgb="FFFF6666"/>
      </patternFill>
    </fill>
    <fill>
      <patternFill patternType="solid">
        <fgColor rgb="00FFFF00"/>
        <bgColor rgb="00FFFF00"/>
      </patternFill>
    </fill>
    <fill>
      <patternFill patternType="solid">
        <fgColor rgb="00FF6666"/>
        <bgColor rgb="00FF6666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</borders>
  <cellStyleXfs count="1">
    <xf numFmtId="0" fontId="0" fillId="0" borderId="0"/>
  </cellStyleXfs>
  <cellXfs count="37">
    <xf numFmtId="0" fontId="0" fillId="0" borderId="0" pivotButton="0" quotePrefix="0" xfId="0"/>
    <xf numFmtId="0" fontId="1" fillId="0" borderId="0" pivotButton="0" quotePrefix="0" xfId="0"/>
    <xf numFmtId="164" fontId="0" fillId="0" borderId="0" pivotButton="0" quotePrefix="0" xfId="0"/>
    <xf numFmtId="0" fontId="2" fillId="2" borderId="0" applyAlignment="1" pivotButton="0" quotePrefix="0" xfId="0">
      <alignment horizontal="center" vertical="center"/>
    </xf>
    <xf numFmtId="0" fontId="0" fillId="3" borderId="0" pivotButton="0" quotePrefix="0" xfId="0"/>
    <xf numFmtId="0" fontId="0" fillId="3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5" borderId="0" applyAlignment="1" pivotButton="0" quotePrefix="0" xfId="0">
      <alignment horizontal="center"/>
    </xf>
    <xf numFmtId="0" fontId="3" fillId="4" borderId="0" pivotButton="0" quotePrefix="0" xfId="0"/>
    <xf numFmtId="16" fontId="0" fillId="0" borderId="0" pivotButton="0" quotePrefix="0" xfId="0"/>
    <xf numFmtId="166" fontId="0" fillId="0" borderId="0" pivotButton="0" quotePrefix="0" xfId="0"/>
    <xf numFmtId="165" fontId="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5" fillId="7" borderId="0" applyAlignment="1" pivotButton="0" quotePrefix="0" xfId="0">
      <alignment horizontal="center" vertical="center"/>
    </xf>
    <xf numFmtId="0" fontId="2" fillId="8" borderId="0" applyAlignment="1" pivotButton="0" quotePrefix="0" xfId="0">
      <alignment horizontal="center" vertical="center"/>
    </xf>
    <xf numFmtId="0" fontId="0" fillId="8" borderId="1" applyAlignment="1" pivotButton="0" quotePrefix="0" xfId="0">
      <alignment horizontal="center" vertical="center"/>
    </xf>
    <xf numFmtId="0" fontId="0" fillId="9" borderId="1" applyAlignment="1" pivotButton="0" quotePrefix="0" xfId="0">
      <alignment horizontal="center" vertical="center"/>
    </xf>
    <xf numFmtId="0" fontId="0" fillId="4" borderId="1" applyAlignment="1" pivotButton="0" quotePrefix="0" xfId="0">
      <alignment horizontal="center" vertical="center"/>
    </xf>
    <xf numFmtId="0" fontId="0" fillId="5" borderId="1" applyAlignment="1" pivotButton="0" quotePrefix="0" xfId="0">
      <alignment horizontal="center" vertical="center"/>
    </xf>
    <xf numFmtId="0" fontId="0" fillId="10" borderId="1" applyAlignment="1" pivotButton="0" quotePrefix="0" xfId="0">
      <alignment horizontal="center" vertical="center"/>
    </xf>
    <xf numFmtId="0" fontId="0" fillId="11" borderId="1" applyAlignment="1" pivotButton="0" quotePrefix="0" xfId="0">
      <alignment horizontal="center" vertical="center"/>
    </xf>
    <xf numFmtId="0" fontId="2" fillId="2" borderId="3" applyAlignment="1" pivotButton="0" quotePrefix="0" xfId="0">
      <alignment horizontal="center" vertical="center"/>
    </xf>
    <xf numFmtId="0" fontId="0" fillId="3" borderId="3" applyAlignment="1" pivotButton="0" quotePrefix="0" xfId="0">
      <alignment horizontal="center"/>
    </xf>
    <xf numFmtId="0" fontId="0" fillId="4" borderId="0" applyAlignment="1" pivotButton="0" quotePrefix="0" xfId="0">
      <alignment horizontal="center"/>
    </xf>
    <xf numFmtId="0" fontId="0" fillId="6" borderId="0" applyAlignment="1" pivotButton="0" quotePrefix="0" xfId="0">
      <alignment horizontal="center"/>
    </xf>
    <xf numFmtId="0" fontId="0" fillId="3" borderId="2" applyAlignment="1" pivotButton="0" quotePrefix="0" xfId="0">
      <alignment horizontal="center"/>
    </xf>
    <xf numFmtId="0" fontId="6" fillId="12" borderId="1" applyAlignment="1" pivotButton="0" quotePrefix="0" xfId="0">
      <alignment horizontal="center" vertical="center"/>
    </xf>
    <xf numFmtId="0" fontId="0" fillId="0" borderId="4" pivotButton="0" quotePrefix="0" xfId="0"/>
    <xf numFmtId="0" fontId="7" fillId="13" borderId="0" pivotButton="0" quotePrefix="0" xfId="0"/>
    <xf numFmtId="0" fontId="0" fillId="14" borderId="0" pivotButton="0" quotePrefix="0" xfId="0"/>
    <xf numFmtId="0" fontId="0" fillId="0" borderId="4" pivotButton="0" quotePrefix="0" xfId="0"/>
    <xf numFmtId="0" fontId="8" fillId="15" borderId="0" pivotButton="0" quotePrefix="0" xfId="0"/>
    <xf numFmtId="167" fontId="0" fillId="0" borderId="0" pivotButton="0" quotePrefix="0" xfId="0"/>
    <xf numFmtId="0" fontId="0" fillId="16" borderId="0" pivotButton="0" quotePrefix="0" xfId="0"/>
  </cellXfs>
  <cellStyles count="1">
    <cellStyle name="Normal" xfId="0" builtinId="0"/>
  </cellStyles>
  <dxfs count="46">
    <dxf>
      <fill>
        <patternFill patternType="solid">
          <fgColor rgb="FFFCE4D6"/>
        </patternFill>
      </fill>
    </dxf>
    <dxf>
      <fill>
        <patternFill patternType="solid">
          <fgColor rgb="FFFCE4D6"/>
        </patternFill>
      </fill>
    </dxf>
    <dxf>
      <fill>
        <patternFill patternType="solid">
          <fgColor rgb="FFFCE4D6"/>
        </patternFill>
      </fill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9FBFD"/>
        </patternFill>
      </fill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indexed="64"/>
          <bgColor rgb="FF1F4E78"/>
        </patternFill>
      </fill>
      <alignment horizontal="center" vertical="center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rgb="FFFCE4D6"/>
        </patternFill>
      </fill>
    </dxf>
    <dxf>
      <fill>
        <patternFill patternType="solid">
          <fgColor rgb="FFFCE4D6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5" formatCode="dd/mm"/>
      <alignment horizontal="center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indexed="64"/>
          <bgColor rgb="FF1F4E78"/>
        </patternFill>
      </fill>
      <alignment horizontal="center" vertical="center"/>
    </dxf>
    <dxf>
      <fill>
        <patternFill patternType="solid">
          <fgColor rgb="FFFCE4D6"/>
        </patternFill>
      </fill>
    </dxf>
    <dxf>
      <fill>
        <patternFill patternType="solid">
          <fgColor rgb="FFFCE4D6"/>
        </patternFill>
      </fill>
    </dxf>
    <dxf>
      <fill>
        <patternFill patternType="solid">
          <fgColor rgb="FFFCE4D6"/>
        </patternFill>
      </fill>
    </dxf>
    <dxf>
      <fill>
        <patternFill patternType="solid">
          <fgColor rgb="FFFCE4D6"/>
        </patternFill>
      </fill>
    </dxf>
    <dxf>
      <fill>
        <patternFill patternType="solid">
          <fgColor rgb="FFFCE4D6"/>
        </patternFill>
      </fill>
    </dxf>
    <dxf>
      <fill>
        <patternFill patternType="solid">
          <fgColor rgb="FFFCE4D6"/>
        </patternFill>
      </fill>
    </dxf>
    <dxf>
      <fill>
        <patternFill patternType="solid">
          <fgColor rgb="FFFCE4D6"/>
        </patternFill>
      </fill>
    </dxf>
    <dxf>
      <fill>
        <patternFill patternType="solid">
          <fgColor rgb="FFFCE4D6"/>
        </patternFill>
      </fill>
    </dxf>
    <dxf>
      <fill>
        <patternFill patternType="solid">
          <fgColor rgb="FFFCE4D6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comments/comment1.xml><?xml version="1.0" encoding="utf-8"?>
<comments xmlns="http://schemas.openxmlformats.org/spreadsheetml/2006/main">
  <authors>
    <author>Επιλοχίας</author>
  </authors>
  <commentList>
    <comment ref="A7" authorId="0" shapeId="0">
      <text>
        <t xml:space="preserve">Επιλοχίας:
ΚΆΘΕ ΔΕΥ Κ ΤΡΙ ΕΤΑΦ 1ο
</t>
      </text>
    </comment>
    <comment ref="A28" authorId="0" shapeId="0">
      <text>
        <t xml:space="preserve">Επιλοχίας:
ΒΑΥΔΜ ΕΣΤ
</t>
      </text>
    </comment>
    <comment ref="A43" authorId="0" shapeId="0">
      <text>
        <t>Επιλοχίας:
ΜΟΝΟ ΒΑΥΔΜ ΕΣΤ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Table25" displayName="Table25" ref="A1:L94" headerRowCount="1" totalsRowShown="0" headerRowDxfId="31">
  <autoFilter ref="A1:L94"/>
  <tableColumns count="12">
    <tableColumn id="1" name="ΟΝΟΜΑ"/>
    <tableColumn id="2" name="ΣΥΝΟΛΟ_ΥΠΗΡΕΣΙΩΝ">
      <calculatedColumnFormula>SUM(D2:G2)</calculatedColumnFormula>
    </tableColumn>
    <tableColumn id="3" name="ΣΥΝΟΛΟ_ΣΚ">
      <calculatedColumnFormula>COUNTIFS(Schedule!$A$4:$A$33,"Σάββατο",Schedule!$C$4:$C$33,$A2)+COUNTIFS(Schedule!$A$4:$A$33,"Σάββατο",Schedule!$D$4:$D$33,$A2)+COUNTIFS(Schedule!$A$4:$A$33,"Σάββατο",Schedule!$E$4:$E$33,$A2)+COUNTIFS(Schedule!$A$4:$A$33,"Σάββατο",Schedule!$G$4:$G$33,$A2)+COUNTIFS(Schedule!$A$4:$A$33,"Σάββατο",Schedule!$H$4:$H$33,$A2)+COUNTIFS(Schedule!$A$4:$A$33,"Σάββατο",Schedule!$I$4:$I$33,$A2)+COUNTIFS(Schedule!$A$4:$A$33,"Σάββατο",Schedule!$J$4:$J$33,$A2)+COUNTIFS(Schedule!$A$4:$A$33,"Σάββατο",Schedule!$K$4:$K$33,$A2)+COUNTIFS(Schedule!$A$4:$A$33,"Κυριακή",Schedule!$C$4:$C$33,$A2)+COUNTIFS(Schedule!$A$4:$A$33,"Κυριακή",Schedule!$D$4:$D$33,$A2)+COUNTIFS(Schedule!$A$4:$A$33,"Κυριακή",Schedule!$E$4:$E$33,$A2)+COUNTIFS(Schedule!$A$4:$A$33,"Κυριακή",Schedule!$G$4:$G$33,$A2)+COUNTIFS(Schedule!$A$4:$A$33,"Κυριακή",Schedule!$H$4:$H$33,$A2)+COUNTIFS(Schedule!$A$4:$A$33,"Κυριακή",Schedule!$I$4:$I$33,$A2)+COUNTIFS(Schedule!$A$4:$A$33,"Κυριακή",Schedule!$J$4:$J$33,$A2)+COUNTIFS(Schedule!$A$4:$A$33,"Κυριακή",Schedule!$K$4:$K$33,$A2)</calculatedColumnFormula>
    </tableColumn>
    <tableColumn id="4" name="ΜΛΣΝ">
      <calculatedColumnFormula>COUNTIF(Schedule!$C$4:$C$33,$A2)+COUNTIF(Schedule!$D$4:$D$33,$A2)+COUNTIF(Schedule!$E$4:$E$33,$A2)</calculatedColumnFormula>
    </tableColumn>
    <tableColumn id="5" name="ΕΤΑΦ">
      <calculatedColumnFormula>COUNTIF(Schedule!$G$4:$G$33,$A2)+COUNTIF(Schedule!$H$4:$H$33,$A2)</calculatedColumnFormula>
    </tableColumn>
    <tableColumn id="6" name="ΕΣΤ">
      <calculatedColumnFormula>COUNTIF(Schedule!$I$4:$I$33,$A2)+COUNTIF(Schedule!$J$4:$J$33,$A2)</calculatedColumnFormula>
    </tableColumn>
    <tableColumn id="7" name="ΒΑΥΔΜ">
      <calculatedColumnFormula>COUNTIF(Schedule!$K$4:$K$33,$A2)</calculatedColumnFormula>
    </tableColumn>
    <tableColumn id="8" name="ΕΠΙΦ_ΜΛΣΝ">
      <calculatedColumnFormula>COUNTIF(Schedule!$L$4:$L$33,$A2)</calculatedColumnFormula>
    </tableColumn>
    <tableColumn id="9" name="ΕΠΙΦ_ΒΑΥΔΜ">
      <calculatedColumnFormula>COUNTIF(Schedule!$M$4:$M$33,$A2)</calculatedColumnFormula>
    </tableColumn>
    <tableColumn id="10" name="ΣΥΝΟΛΟ_ΕΠΙΦ">
      <calculatedColumnFormula>SUM(H2:I2)</calculatedColumnFormula>
    </tableColumn>
    <tableColumn id="11" name="ΕΛΕΓΧΟΣ_MAX">
      <calculatedColumnFormula>IF(B2&lt;=INDEX(Personnel!$M:$M,MATCH($A2,Personnel!$A:$A,0)),"OK","ΥΠΕΡΒΑΣΗ")</calculatedColumnFormula>
    </tableColumn>
    <tableColumn id="12" name="ΕΛΕΓΧΟΣ_ΣΚ">
      <calculatedColumnFormula>IF(C2&lt;=INDEX(Personnel!$N:$N,MATCH($A2,Personnel!$A:$A,0)),"OK","ΠΟΛΛΑ ΣΚ")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able6" displayName="Table6" ref="C1:U112" headerRowCount="1" totalsRowShown="0" headerRowDxfId="30">
  <autoFilter ref="C1:U112"/>
  <tableColumns count="19">
    <tableColumn id="1" name="ΜΛΣΝ" dataDxfId="29"/>
    <tableColumn id="2" name="ΕΤΑΦ" dataDxfId="28"/>
    <tableColumn id="3" name="ΕΣΤ" dataDxfId="27"/>
    <tableColumn id="4" name="ΒΑΥΔΜ" dataDxfId="26"/>
    <tableColumn id="5" name="ΕΠΙΦ_ΜΛΣΝ" dataDxfId="25"/>
    <tableColumn id="6" name="ΕΠΙΦ_ΒΑΥΔΜ" dataDxfId="24"/>
    <tableColumn id="7" name="ΚΑΝΟΝΙΚΟΣ" dataDxfId="23"/>
    <tableColumn id="8" name="ΜΟΝΟ_1_ΤΟΝ_ΜΗΝΑ" dataDxfId="22"/>
    <tableColumn id="9" name="ΜΟΝΟ_ΣΚ" dataDxfId="21"/>
    <tableColumn id="10" name="ΕΝΕΡΓΟΣ" dataDxfId="20"/>
    <tableColumn id="11" name="MAX_ΜΗΝΑ" dataDxfId="19"/>
    <tableColumn id="12" name="MAX_ΣΚ" dataDxfId="18"/>
    <tableColumn id="13" name="MIN_GAP_DAYS" dataDxfId="17"/>
    <tableColumn id="14" name="ΣΧΟΛΙΑ"/>
    <tableColumn id="15" name="ΕΠΙΤΡΕΠΤΕΣ_ΜΕΡΕΣ"/>
    <tableColumn id="16" name="MAX_MLSN"/>
    <tableColumn id="17" name="MAX_ETAF"/>
    <tableColumn id="18" name="MAX_EST"/>
    <tableColumn id="19" name="MAX_VAVD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3" name="Table5" displayName="Table5" ref="B3:B34" headerRowCount="1" totalsRowShown="0" headerRowDxfId="36" dataDxfId="35">
  <autoFilter ref="B3:B34"/>
  <tableColumns count="1">
    <tableColumn id="1" name="ΗΜ/ΝΙΑ" dataDxfId="34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Table2" displayName="Table2" ref="A1:L94" headerRowCount="1" totalsRowShown="0" headerRowDxfId="16" dataDxfId="15">
  <autoFilter ref="A1:L94"/>
  <tableColumns count="12">
    <tableColumn id="1" name="ΟΝΟΜΑ" dataDxfId="14"/>
    <tableColumn id="2" name="ΣΥΝΟΛΟ_ΥΠΗΡΕΣΙΩΝ" dataDxfId="13"/>
    <tableColumn id="3" name="ΣΥΝΟΛΟ_ΣΚ" dataDxfId="12"/>
    <tableColumn id="4" name="ΜΛΣΝ" dataDxfId="11"/>
    <tableColumn id="5" name="ΕΤΑΦ" dataDxfId="10"/>
    <tableColumn id="6" name="ΕΣΤ" dataDxfId="9"/>
    <tableColumn id="7" name="ΒΑΥΔΜ" dataDxfId="8"/>
    <tableColumn id="8" name="ΕΠΙΦ_ΜΛΣΝ" dataDxfId="7"/>
    <tableColumn id="9" name="ΕΠΙΦ_ΒΑΥΔΜ" dataDxfId="6"/>
    <tableColumn id="10" name="ΣΥΝΟΛΟ_ΕΠΙΦ" dataDxfId="5"/>
    <tableColumn id="11" name="ΕΛΕΓΧΟΣ_MAX" dataDxfId="4"/>
    <tableColumn id="12" name="ΕΛΕΓΧΟΣ_ΣΚ" dataDxfId="3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3.xml" Id="rId1" /><Relationship Type="http://schemas.openxmlformats.org/officeDocument/2006/relationships/vmlDrawing" Target="/xl/drawings/vmlDrawing3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8"/>
  <sheetViews>
    <sheetView workbookViewId="0">
      <selection activeCell="B5" sqref="B5"/>
    </sheetView>
  </sheetViews>
  <sheetFormatPr baseColWidth="8" defaultRowHeight="14.5"/>
  <cols>
    <col width="22" customWidth="1" min="1" max="1"/>
    <col width="80" customWidth="1" min="2" max="2"/>
  </cols>
  <sheetData>
    <row r="1" ht="18.5" customHeight="1">
      <c r="A1" s="1" t="inlineStr">
        <is>
          <t>Template προγράμματος υπηρεσιών μονάδας</t>
        </is>
      </c>
    </row>
    <row r="3">
      <c r="A3" t="inlineStr">
        <is>
          <t>Τι περιέχει</t>
        </is>
      </c>
      <c r="B3" t="inlineStr">
        <is>
          <t>Personnel, Needs, Schedule, Stats</t>
        </is>
      </c>
    </row>
    <row r="4">
      <c r="A4" t="inlineStr">
        <is>
          <t>MIN_GAP_DAYS</t>
        </is>
      </c>
      <c r="B4" t="inlineStr">
        <is>
          <t>Ορίστηκε σε 7 ημέρες για τους κανονικούς.</t>
        </is>
      </c>
    </row>
    <row r="8">
      <c r="B8" s="2" t="n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6">
    <outlinePr summaryBelow="1" summaryRight="1"/>
    <pageSetUpPr/>
  </sheetPr>
  <dimension ref="A1:O34"/>
  <sheetViews>
    <sheetView zoomScale="54" zoomScaleNormal="80" workbookViewId="0">
      <pane ySplit="3" topLeftCell="A5" activePane="bottomLeft" state="frozen"/>
      <selection pane="bottomLeft" activeCell="G27" sqref="G27"/>
    </sheetView>
  </sheetViews>
  <sheetFormatPr baseColWidth="8" defaultRowHeight="14.5"/>
  <cols>
    <col width="14" customWidth="1" min="1" max="1"/>
    <col width="12" customWidth="1" min="2" max="2"/>
    <col width="48.08984375" customWidth="1" min="3" max="12"/>
    <col width="9" customWidth="1" min="13" max="14"/>
    <col width="12" customWidth="1" min="15" max="15"/>
  </cols>
  <sheetData>
    <row r="1">
      <c r="A1" t="inlineStr">
        <is>
          <t>Μήνας έναρξης</t>
        </is>
      </c>
      <c r="B1" s="2" t="n">
        <v>46082</v>
      </c>
    </row>
    <row r="3">
      <c r="A3" s="3" t="inlineStr">
        <is>
          <t>ΗΜΕΡΑ</t>
        </is>
      </c>
      <c r="B3" s="3" t="inlineStr">
        <is>
          <t>ΗΜ/ΝΙΑ</t>
        </is>
      </c>
      <c r="C3" s="3" t="inlineStr">
        <is>
          <t>ΜΛΣΝ1</t>
        </is>
      </c>
      <c r="D3" s="3" t="inlineStr">
        <is>
          <t>ΜΛΣΝ2</t>
        </is>
      </c>
      <c r="E3" s="3" t="inlineStr">
        <is>
          <t>ΜΛΣΝ3</t>
        </is>
      </c>
      <c r="F3" s="3" t="inlineStr">
        <is>
          <t>ΕΤΑΦ1</t>
        </is>
      </c>
      <c r="G3" s="3" t="inlineStr">
        <is>
          <t>ΕΤΑΦ2</t>
        </is>
      </c>
      <c r="H3" s="3" t="inlineStr">
        <is>
          <t>ΕΣΤ1</t>
        </is>
      </c>
      <c r="I3" s="3" t="inlineStr">
        <is>
          <t>ΕΣΤ2</t>
        </is>
      </c>
      <c r="J3" s="3" t="inlineStr">
        <is>
          <t>ΒΑΥΔΜ</t>
        </is>
      </c>
      <c r="K3" s="3" t="inlineStr">
        <is>
          <t>ΕΠΙΦ_ΜΛΣΝ</t>
        </is>
      </c>
      <c r="L3" s="3" t="inlineStr">
        <is>
          <t>ΕΠΙΦ_ΒΑΥΔΜ</t>
        </is>
      </c>
      <c r="M3" s="3" t="inlineStr">
        <is>
          <t>ΑΠΑΙΤ.</t>
        </is>
      </c>
      <c r="N3" s="3" t="inlineStr">
        <is>
          <t>ΣΥΜΠΛ.</t>
        </is>
      </c>
      <c r="O3" s="3" t="inlineStr">
        <is>
          <t>ΕΛΕΓΧΟΣ</t>
        </is>
      </c>
    </row>
    <row r="4">
      <c r="A4" s="9">
        <f>IF(B4="","",CHOOSE(WEEKDAY(B4,2),"Δευτέρα","Τρίτη","Τετάρτη","Πέμπτη","Παρασκευή","Σάββατο","Κυριακή"))</f>
        <v/>
      </c>
      <c r="B4" s="8">
        <f>IF(1&lt;=DAY(EOMONTH($B$1,0)),DATE(YEAR($B$1),MONTH($B$1),1),"")</f>
        <v/>
      </c>
      <c r="C4" s="9" t="inlineStr">
        <is>
          <t>ΑΓΓΕΛΟΓΙΑΝΝΟΠΟΥΛΟΣ ΜΑΡΙΟΣ</t>
        </is>
      </c>
      <c r="D4" s="9" t="inlineStr">
        <is>
          <t>ΒΑΚΑΛΗΣ ΑΝΤΩΝΙΟΣ</t>
        </is>
      </c>
      <c r="E4" s="9" t="inlineStr">
        <is>
          <t>ΒΟΛΤΥΡΑΚΗΣ ΧΡΗΣΤΟΣ (MONO ΒΑΥΔΜ)</t>
        </is>
      </c>
      <c r="F4" s="9" t="inlineStr">
        <is>
          <t>ΠΑΠΑΔΟΠΟΥΛΟΣ ΚΩΝΣΤΑΝΤΙΝΟΣ</t>
        </is>
      </c>
      <c r="G4" s="9" t="n"/>
      <c r="H4" s="9" t="inlineStr">
        <is>
          <t>ΚΑΡΑΚΩΣΤΑΣ ΧΑΡΑΛΑΜΠΟΣ</t>
        </is>
      </c>
      <c r="I4" s="9" t="n"/>
      <c r="J4" s="9" t="inlineStr">
        <is>
          <t>ΧΑΤΖΗΠΑΝΤΕΛΗΣ ΘΕΟΔΩΡΟΣ ΣΤΥΛΙΑΝΟΣ (ΜΟΝΟ ΒΑΥΔΜ)</t>
        </is>
      </c>
      <c r="K4" s="9" t="inlineStr">
        <is>
          <t>ΑΛΕΞΑΝΔΡΑΚΗΣ ΠΑΝΑΓΙΩΤΗΣ</t>
        </is>
      </c>
      <c r="L4" s="9" t="inlineStr">
        <is>
          <t>ΚΑΠΟΥΛΑΣ ΗΛΙΑΣ</t>
        </is>
      </c>
      <c r="M4" s="9" t="n"/>
      <c r="N4" s="9" t="n"/>
      <c r="O4" s="9" t="n"/>
    </row>
    <row r="5">
      <c r="A5" s="7">
        <f>IF(B5="","",CHOOSE(WEEKDAY(B5,2),"Δευτέρα","Τρίτη","Τετάρτη","Πέμπτη","Παρασκευή","Σάββατο","Κυριακή"))</f>
        <v/>
      </c>
      <c r="B5" s="8">
        <f>IF(2&lt;=DAY(EOMONTH($B$1,0)),DATE(YEAR($B$1),MONTH($B$1),2),"")</f>
        <v/>
      </c>
      <c r="C5" s="9" t="inlineStr">
        <is>
          <t>ΚΑΛΑΡΓΥΡΟΣ ΝΙΚΟΛΑΟΣ</t>
        </is>
      </c>
      <c r="D5" s="9" t="inlineStr">
        <is>
          <t>ΚΑΡΑΜΑΝΗΣ ΝΙΚΟΛΑΟΣ</t>
        </is>
      </c>
      <c r="E5" s="9" t="inlineStr">
        <is>
          <t>ΚΑΡΡΑΣ ΦΑΝΗΣ ΓΕΩΡΓΙΟΣ</t>
        </is>
      </c>
      <c r="F5" s="9" t="inlineStr">
        <is>
          <t>ΓΙΑΝΝΑΚΟΠΟΥΛΟΣ ΑΛΕΞΑΝΔΡΟΣ</t>
        </is>
      </c>
      <c r="G5" s="9" t="n"/>
      <c r="H5" s="9" t="inlineStr">
        <is>
          <t>ΒΕΛΙΣΣΑΡΗΣ ΙΩΑΝΝΗΣ 1 ΥΠ ΤΟΝ ΜΗΝΑ (ΜΛΣΝ) (ΔΕΥΤΕΡΗ ΣΤΗΝ ΑΝΑΓΚΗ)</t>
        </is>
      </c>
      <c r="I5" s="9" t="inlineStr">
        <is>
          <t>ΓΑΡΓΑΛΗΣ ΒΑΣΙΛΕΙΟΣ 1-2 ΜΗΝΑ</t>
        </is>
      </c>
      <c r="J5" s="9" t="inlineStr">
        <is>
          <t>ΣΙΑΓΚΑΣ ΑΘΑΝΑΣΙΟΣ</t>
        </is>
      </c>
      <c r="K5" s="9" t="inlineStr">
        <is>
          <t>ΖΑΡΜΑΚΟΥΠΗΣ ΓΕΩΡΓΙΟΣ</t>
        </is>
      </c>
      <c r="L5" s="9" t="inlineStr">
        <is>
          <t>ΚΩΣΤΟΓΙΑΝΝΗΣ ΓΕΩΡΓΙΟΣ</t>
        </is>
      </c>
      <c r="M5" s="9" t="n"/>
      <c r="N5" s="9" t="n"/>
      <c r="O5" s="9" t="n"/>
    </row>
    <row r="6">
      <c r="A6" s="7">
        <f>IF(B6="","",CHOOSE(WEEKDAY(B6,2),"Δευτέρα","Τρίτη","Τετάρτη","Πέμπτη","Παρασκευή","Σάββατο","Κυριακή"))</f>
        <v/>
      </c>
      <c r="B6" s="8">
        <f>IF(3&lt;=DAY(EOMONTH($B$1,0)),DATE(YEAR($B$1),MONTH($B$1),3),"")</f>
        <v/>
      </c>
      <c r="C6" s="9" t="inlineStr">
        <is>
          <t>ΜΠΑΡΑΛΗΣ ΗΛΙΑΣ</t>
        </is>
      </c>
      <c r="D6" s="9" t="inlineStr">
        <is>
          <t>ΜΥΡΤΑ ΡΕΝΑΤΟ</t>
        </is>
      </c>
      <c r="E6" s="9" t="n"/>
      <c r="F6" s="9" t="inlineStr">
        <is>
          <t>ΘΩΜΟΠΟΥΛΟΣ ΔΗΜΗΤΡΙΟΣ (ΜΟΝΟ ΚΑΘΗΜΕΡΙΝΕΣ, ΜΠΟΡΕΙ ΚΑΙ Χ2 ΤΗΝ ΒΔΟΜΑΔΑ)</t>
        </is>
      </c>
      <c r="G6" s="9" t="inlineStr">
        <is>
          <t>ΚΑΚΟΥΡΑΣ ΓΕΩΡΓΙΟΣ</t>
        </is>
      </c>
      <c r="H6" s="9" t="inlineStr">
        <is>
          <t>ΚΟΥΛΟΠΟΥΛΟΣ ΓΕΡΑΣΙΜΟΣ</t>
        </is>
      </c>
      <c r="I6" s="9" t="n"/>
      <c r="J6" s="9" t="inlineStr">
        <is>
          <t>ΒΕΪΟΓΛΑΝΗΣ ΙΩΑΝΝΗΣ (ΒΑΥΔΜ)</t>
        </is>
      </c>
      <c r="K6" s="9" t="inlineStr">
        <is>
          <t>ΚΑΡΑΣΑΒΒΑΣ ΠΑΝΤΕΛΕΗΜΩΝ</t>
        </is>
      </c>
      <c r="L6" s="9" t="inlineStr">
        <is>
          <t>ΠΟΤΟΛΙΑΣ ΑΝΑΣΤΑΣΙΟΣ</t>
        </is>
      </c>
      <c r="M6" s="9" t="n"/>
      <c r="N6" s="9" t="n"/>
      <c r="O6" s="9" t="n"/>
    </row>
    <row r="7">
      <c r="A7" s="7">
        <f>IF(B7="","",CHOOSE(WEEKDAY(B7,2),"Δευτέρα","Τρίτη","Τετάρτη","Πέμπτη","Παρασκευή","Σάββατο","Κυριακή"))</f>
        <v/>
      </c>
      <c r="B7" s="8">
        <f>IF(4&lt;=DAY(EOMONTH($B$1,0)),DATE(YEAR($B$1),MONTH($B$1),4),"")</f>
        <v/>
      </c>
      <c r="C7" s="9" t="inlineStr">
        <is>
          <t>ΡΟΥΣΚΑΣ ΔΗΜΗΤΡΙΟΣ</t>
        </is>
      </c>
      <c r="D7" s="9" t="inlineStr">
        <is>
          <t>ΣΠΥΡΙΔΗΣ ΟΡΕΣΤΗΣ</t>
        </is>
      </c>
      <c r="E7" s="9" t="inlineStr">
        <is>
          <t>ΣΤΑΜΑΤΟΓΛΟΥ ΔΗΜΗΤΡΙΟΣ</t>
        </is>
      </c>
      <c r="F7" s="9" t="inlineStr">
        <is>
          <t>ΚΥΡΙΑΚΙΔΗΣ ΧΡΗΣΤΟΣ</t>
        </is>
      </c>
      <c r="G7" s="9" t="n"/>
      <c r="H7" s="9" t="inlineStr">
        <is>
          <t>ΠΑΠΠΑΣ ΕΛΕΥΘΕΡΙΟΣ</t>
        </is>
      </c>
      <c r="I7" s="9" t="inlineStr">
        <is>
          <t>ΠΛΕΜΜΕΝΟΣ ΠΡΟΔΡΟΜΟΣ</t>
        </is>
      </c>
      <c r="J7" s="9" t="inlineStr">
        <is>
          <t>ΚΑΤΣΕΝΙΟΣ ΑΘΑΝ. 1 ΕΤΑΦ 3 ΒΑΥΔΜ</t>
        </is>
      </c>
      <c r="K7" s="9" t="inlineStr">
        <is>
          <t>ΚΑΡΑΙΣΚΑΚΗΣ ΓΕΩΡΓΙΟΣ  1 ΥΠ ΤΟΝ ΜΗΝΑ (ΜΟΝΟ ΚΑΘ)</t>
        </is>
      </c>
      <c r="L7" s="9" t="inlineStr">
        <is>
          <t>ΣΑΓΙΑΝΝΗΣ ΓΕΩΡΓΙΟΣ</t>
        </is>
      </c>
      <c r="M7" s="9" t="n"/>
      <c r="N7" s="9" t="n"/>
      <c r="O7" s="9" t="n"/>
    </row>
    <row r="8">
      <c r="A8" s="7">
        <f>IF(B8="","",CHOOSE(WEEKDAY(B8,2),"Δευτέρα","Τρίτη","Τετάρτη","Πέμπτη","Παρασκευή","Σάββατο","Κυριακή"))</f>
        <v/>
      </c>
      <c r="B8" s="8">
        <f>IF(5&lt;=DAY(EOMONTH($B$1,0)),DATE(YEAR($B$1),MONTH($B$1),5),"")</f>
        <v/>
      </c>
      <c r="C8" s="9" t="inlineStr">
        <is>
          <t>ΑΛΕΞΑΝΔΡΑΚΗΣ ΠΑΝΑΓΙΩΤΗΣ</t>
        </is>
      </c>
      <c r="D8" s="9" t="inlineStr">
        <is>
          <t>ΕΥΑΓΓΕΛΙΝΟΣ ΜΙΧΑΗΛ</t>
        </is>
      </c>
      <c r="E8" s="9" t="n"/>
      <c r="F8" s="9" t="inlineStr">
        <is>
          <t>ΠΑΠΑΓΕΩΡΓΙΟΥ ΛΟΥΚΑΣ ΑΛΕΞΑΝΔΡΟΣ 1-2 ΜΗΝΑ</t>
        </is>
      </c>
      <c r="G8" s="9" t="inlineStr">
        <is>
          <t>ΠΕΡΡΑΚΗΣ ΦΑΙΔΩΝ ΑΘΑΝΑΣΙΟΣ (ΑΝΑΡΩΤΙΚΗ)</t>
        </is>
      </c>
      <c r="H8" s="9" t="inlineStr">
        <is>
          <t>ΖΑΡΜΑΚΟΥΠΗΣ ΓΕΩΡΓΙΟΣ</t>
        </is>
      </c>
      <c r="I8" s="9" t="n"/>
      <c r="J8" s="9" t="inlineStr">
        <is>
          <t>ΣΤΑΜΟΥ ΙΩΑΝΝΗΣ</t>
        </is>
      </c>
      <c r="K8" s="9" t="inlineStr">
        <is>
          <t>ΜΙΧΑΛΙΩΔΗΣ ΔΟΥΚΑΣ ΤΑΞΙΑΡΧΗΣ</t>
        </is>
      </c>
      <c r="L8" s="9" t="inlineStr">
        <is>
          <t>ΣΚΥΛΑΚΑΚΗΣ ΑΡΙΣΤΕΙΔΗΣ</t>
        </is>
      </c>
      <c r="M8" s="9" t="n"/>
      <c r="N8" s="9" t="n"/>
      <c r="O8" s="9" t="n"/>
    </row>
    <row r="9">
      <c r="A9" s="7">
        <f>IF(B9="","",CHOOSE(WEEKDAY(B9,2),"Δευτέρα","Τρίτη","Τετάρτη","Πέμπτη","Παρασκευή","Σάββατο","Κυριακή"))</f>
        <v/>
      </c>
      <c r="B9" s="8">
        <f>IF(6&lt;=DAY(EOMONTH($B$1,0)),DATE(YEAR($B$1),MONTH($B$1),6),"")</f>
        <v/>
      </c>
      <c r="C9" s="9" t="inlineStr">
        <is>
          <t>ΜΠΟΥΚΟΥΡΑΣ ΕΠΑΜΕΙΝΩΝΔΑΣ</t>
        </is>
      </c>
      <c r="D9" s="9" t="inlineStr">
        <is>
          <t>ΠΗΓΑΚΗΣ ΝΙΚΟΛΑΟΣ ΜΙΧΑΗΛ (Ι2) (ΤΡΙΤΗ-ΤΕΤΑΡΤΗ)</t>
        </is>
      </c>
      <c r="E9" s="9" t="inlineStr">
        <is>
          <t>ΣΠΥΡΟΠΟΥΛΟΣ ΔΙΟΝΥΣΙΟΣ</t>
        </is>
      </c>
      <c r="F9" s="9" t="inlineStr">
        <is>
          <t>ΦΙΝΕΣ ΛΟΥΚΑΣ</t>
        </is>
      </c>
      <c r="G9" s="9" t="n"/>
      <c r="H9" s="9" t="inlineStr">
        <is>
          <t>ΣΤΡΑΤΟΣ ΒΑΣΙΛΕΙΟΣ</t>
        </is>
      </c>
      <c r="I9" s="9" t="inlineStr">
        <is>
          <t>ΤΣΕΛΕΠΙΔΗΣ ΣΑΒΒΑΣ</t>
        </is>
      </c>
      <c r="J9" s="9" t="inlineStr">
        <is>
          <t>ΔΟΥΜΑΝΟΓΛΟΥ ΗΛΙΑΣ</t>
        </is>
      </c>
      <c r="K9" s="9" t="inlineStr">
        <is>
          <t>ΠΑΡΑΣΧΑΚΗΣ ΔΗΜΗΤΡΙΟΣ</t>
        </is>
      </c>
      <c r="L9" s="9" t="inlineStr">
        <is>
          <t>ΚΩΣΤΟΓΙΑΝΝΗΣ ΓΕΩΡΓΙΟΣ</t>
        </is>
      </c>
      <c r="M9" s="9" t="n"/>
      <c r="N9" s="9" t="n"/>
      <c r="O9" s="9" t="n"/>
    </row>
    <row r="10">
      <c r="A10" s="7">
        <f>IF(B10="","",CHOOSE(WEEKDAY(B10,2),"Δευτέρα","Τρίτη","Τετάρτη","Πέμπτη","Παρασκευή","Σάββατο","Κυριακή"))</f>
        <v/>
      </c>
      <c r="B10" s="8">
        <f>IF(7&lt;=DAY(EOMONTH($B$1,0)),DATE(YEAR($B$1),MONTH($B$1),7),"")</f>
        <v/>
      </c>
      <c r="C10" s="9" t="inlineStr">
        <is>
          <t>ΘΕΟΦΙΛΟΓΙΑΝΝΑΚΟΣ ΒΑΣΙΛΕΙΟΣ</t>
        </is>
      </c>
      <c r="D10" s="9" t="inlineStr">
        <is>
          <t>ΚΙΝΙΝΗΣ ΔΗΜΗΤΡΙΟΣ</t>
        </is>
      </c>
      <c r="E10" s="9" t="inlineStr">
        <is>
          <t>ΜΙΧΑΛΙΩΔΗΣ ΔΟΥΚΑΣ ΤΑΞΙΑΡΧΗΣ</t>
        </is>
      </c>
      <c r="F10" s="9" t="inlineStr">
        <is>
          <t>ΑΒΡΑΜΗΛΑΣ ΓΕΩΡΓΙΟΣ Π. (ΟΧΙ ΜΛΣΝ)</t>
        </is>
      </c>
      <c r="G10" s="9" t="n"/>
      <c r="H10" s="9" t="inlineStr">
        <is>
          <t>ΜΠΕΛΗΣ ΑΧΙΛΛΕΑΣ</t>
        </is>
      </c>
      <c r="I10" s="9" t="n"/>
      <c r="J10" s="9" t="inlineStr">
        <is>
          <t>ΠΑΡΑΣΧΑΚΗΣ ΔΗΜΗΤΡΙΟΣ</t>
        </is>
      </c>
      <c r="K10" s="9" t="inlineStr">
        <is>
          <t>ΣΠΥΡΙΔΗΣ ΟΡΕΣΤΗΣ</t>
        </is>
      </c>
      <c r="L10" s="9" t="inlineStr">
        <is>
          <t>ΑΚΡΙΒΟΣ ΝΙΚΟΛΑΟΣ</t>
        </is>
      </c>
      <c r="M10" s="9" t="n"/>
      <c r="N10" s="9" t="n"/>
      <c r="O10" s="9" t="n"/>
    </row>
    <row r="11">
      <c r="A11" s="7">
        <f>IF(B11="","",CHOOSE(WEEKDAY(B11,2),"Δευτέρα","Τρίτη","Τετάρτη","Πέμπτη","Παρασκευή","Σάββατο","Κυριακή"))</f>
        <v/>
      </c>
      <c r="B11" s="8">
        <f>IF(8&lt;=DAY(EOMONTH($B$1,0)),DATE(YEAR($B$1),MONTH($B$1),8),"")</f>
        <v/>
      </c>
      <c r="C11" s="9" t="inlineStr">
        <is>
          <t>ΒΛΑΧΟΣ ΜΑΡΙΟΣ</t>
        </is>
      </c>
      <c r="D11" s="9" t="inlineStr">
        <is>
          <t>ΛΥΚΟΥΡΑΣ ΛΑΜΠΡΟΣ</t>
        </is>
      </c>
      <c r="E11" s="9" t="inlineStr">
        <is>
          <t>ΣΑΓΙΑΝΝΗΣ ΓΕΩΡΓΙΟΣ</t>
        </is>
      </c>
      <c r="F11" s="9" t="inlineStr">
        <is>
          <t>ΚΑΡΑΙΣΚΑΚΗΣ ΓΕΩΡΓΙΟΣ  1 ΥΠ ΤΟΝ ΜΗΝΑ (ΜΟΝΟ ΚΑΘ)</t>
        </is>
      </c>
      <c r="G11" s="9" t="n"/>
      <c r="H11" s="9" t="inlineStr">
        <is>
          <t>ΒΑΣΙΛΟΠΟΥΛΟΣ ΧΡΥΣΟΒΑΛΆΝΤΗΣ</t>
        </is>
      </c>
      <c r="I11" s="9" t="n"/>
      <c r="J11" s="9" t="inlineStr">
        <is>
          <t>ΚΩΣΤΟΓΙΑΝΝΗΣ ΓΕΩΡΓΙΟΣ</t>
        </is>
      </c>
      <c r="K11" s="9" t="inlineStr">
        <is>
          <t>ΣΤΑΜΑΤΟΓΛΟΥ ΔΗΜΗΤΡΙΟΣ</t>
        </is>
      </c>
      <c r="L11" s="9" t="inlineStr">
        <is>
          <t>ΓΑΡΓΑΛΗΣ ΒΑΣΙΛΕΙΟΣ 1-2 ΜΗΝΑ</t>
        </is>
      </c>
      <c r="M11" s="9" t="n"/>
      <c r="N11" s="9" t="n"/>
      <c r="O11" s="9" t="n"/>
    </row>
    <row r="12">
      <c r="A12" s="7">
        <f>IF(B12="","",CHOOSE(WEEKDAY(B12,2),"Δευτέρα","Τρίτη","Τετάρτη","Πέμπτη","Παρασκευή","Σάββατο","Κυριακή"))</f>
        <v/>
      </c>
      <c r="B12" s="8">
        <f>IF(9&lt;=DAY(EOMONTH($B$1,0)),DATE(YEAR($B$1),MONTH($B$1),9),"")</f>
        <v/>
      </c>
      <c r="C12" s="9" t="inlineStr">
        <is>
          <t>ΒΟΛΤΥΡΑΚΗΣ ΧΡΗΣΤΟΣ (MONO ΒΑΥΔΜ)</t>
        </is>
      </c>
      <c r="D12" s="9" t="inlineStr">
        <is>
          <t>ΠΟΤΟΛΙΑΣ ΑΝΑΣΤΑΣΙΟΣ</t>
        </is>
      </c>
      <c r="E12" s="9" t="inlineStr">
        <is>
          <t>ΑΓΓΕΛΟΓΙΑΝΝΟΠΟΥΛΟΣ ΜΑΡΙΟΣ</t>
        </is>
      </c>
      <c r="F12" s="9" t="inlineStr">
        <is>
          <t>ΠΑΝΟΥΣΗΣ ΚΩΝΣΤΑΝΤΙΝΟΣ</t>
        </is>
      </c>
      <c r="G12" s="9" t="n"/>
      <c r="H12" s="9" t="inlineStr">
        <is>
          <t>ΜΗΤΣΟΥ ΜΑΡΙΟΣ ΝΑΠΟΛΕΩΝ</t>
        </is>
      </c>
      <c r="I12" s="9" t="inlineStr">
        <is>
          <t>ΤΖΙΩΤΑΚΗΣ ΓΕΩΡΓΙΟΣ</t>
        </is>
      </c>
      <c r="J12" s="9" t="inlineStr">
        <is>
          <t>ΑΚΡΙΒΟΣ ΝΙΚΟΛΑΟΣ</t>
        </is>
      </c>
      <c r="K12" s="9" t="inlineStr">
        <is>
          <t>ΧΕΙΡΔΑΡΗΣ ΚΩΝΣΤΑΝΤΙΝΟΣ</t>
        </is>
      </c>
      <c r="L12" s="9" t="inlineStr">
        <is>
          <t>ΕΛΕΥΘΕΡΙΟΥ ΑΝΤΩΝΙΟΣ</t>
        </is>
      </c>
      <c r="M12" s="9" t="n"/>
      <c r="N12" s="9" t="n"/>
      <c r="O12" s="9" t="n"/>
    </row>
    <row r="13">
      <c r="A13" s="7">
        <f>IF(B13="","",CHOOSE(WEEKDAY(B13,2),"Δευτέρα","Τρίτη","Τετάρτη","Πέμπτη","Παρασκευή","Σάββατο","Κυριακή"))</f>
        <v/>
      </c>
      <c r="B13" s="8">
        <f>IF(10&lt;=DAY(EOMONTH($B$1,0)),DATE(YEAR($B$1),MONTH($B$1),10),"")</f>
        <v/>
      </c>
      <c r="C13" s="9" t="inlineStr">
        <is>
          <t>ΣΥΝΟΔΙΝΟΣ ΕΡΩΤΟΚΡΙΤΟΣ</t>
        </is>
      </c>
      <c r="D13" s="9" t="inlineStr">
        <is>
          <t>ΒΑΚΑΛΗΣ ΑΝΤΩΝΙΟΣ</t>
        </is>
      </c>
      <c r="E13" s="9" t="n"/>
      <c r="F13" s="9" t="inlineStr">
        <is>
          <t>ΧΟΣΑΦΙ ΑΡΜΠΗ</t>
        </is>
      </c>
      <c r="G13" s="9" t="inlineStr">
        <is>
          <t>ΓΑΡΓΑΛΗΣ ΒΑΣΙΛΕΙΟΣ 1-2 ΜΗΝΑ</t>
        </is>
      </c>
      <c r="H13" s="9" t="inlineStr">
        <is>
          <t>ΘΩΜΟΠΟΥΛΟΣ ΔΗΜΗΤΡΙΟΣ (ΜΟΝΟ ΚΑΘΗΜΕΡΙΝΕΣ, ΜΠΟΡΕΙ ΚΑΙ Χ2 ΤΗΝ ΒΔΟΜΑΔΑ)</t>
        </is>
      </c>
      <c r="I13" s="9" t="n"/>
      <c r="J13" s="9" t="inlineStr">
        <is>
          <t>ΚΟΥΤΣΟΣ ΑΘΑΝΑΣΙΟΣ</t>
        </is>
      </c>
      <c r="K13" s="9" t="inlineStr">
        <is>
          <t>ΚΑΡΑΣΑΒΒΑΣ ΠΑΝΤΕΛΕΗΜΩΝ</t>
        </is>
      </c>
      <c r="L13" s="9" t="inlineStr">
        <is>
          <t>ΚΑΚΟΥΡΑΣ ΓΕΩΡΓΙΟΣ</t>
        </is>
      </c>
      <c r="M13" s="9" t="n"/>
      <c r="N13" s="9" t="n"/>
      <c r="O13" s="9" t="n"/>
    </row>
    <row r="14">
      <c r="A14" s="7">
        <f>IF(B14="","",CHOOSE(WEEKDAY(B14,2),"Δευτέρα","Τρίτη","Τετάρτη","Πέμπτη","Παρασκευή","Σάββατο","Κυριακή"))</f>
        <v/>
      </c>
      <c r="B14" s="8">
        <f>IF(11&lt;=DAY(EOMONTH($B$1,0)),DATE(YEAR($B$1),MONTH($B$1),11),"")</f>
        <v/>
      </c>
      <c r="C14" s="9" t="inlineStr">
        <is>
          <t>ΚΑΛΑΡΓΥΡΟΣ ΝΙΚΟΛΑΟΣ</t>
        </is>
      </c>
      <c r="D14" s="9" t="inlineStr">
        <is>
          <t>ΣΤΑΜΑΤΟΓΛΟΥ ΔΗΜΗΤΡΙΟΣ</t>
        </is>
      </c>
      <c r="E14" s="9" t="inlineStr">
        <is>
          <t>ΜΠΑΡΑΛΗΣ ΗΛΙΑΣ</t>
        </is>
      </c>
      <c r="F14" s="9" t="inlineStr">
        <is>
          <t>ΜΥΡΤΑ ΡΕΝΑΤΟ</t>
        </is>
      </c>
      <c r="G14" s="9" t="n"/>
      <c r="H14" s="9" t="inlineStr">
        <is>
          <t>ΚΑΡΑΣΑΒΒΑΣ ΠΑΝΤΕΛΕΗΜΩΝ</t>
        </is>
      </c>
      <c r="I14" s="9" t="inlineStr">
        <is>
          <t>ΡΟΥΣΚΑΣ ΔΗΜΗΤΡΙΟΣ</t>
        </is>
      </c>
      <c r="J14" s="9" t="inlineStr">
        <is>
          <t>ΣΤΕΡΓΙΟΥ ΜΙΧΑΗΛ</t>
        </is>
      </c>
      <c r="K14" s="9" t="inlineStr">
        <is>
          <t>ΘΕΟΦΙΛΟΓΙΑΝΝΑΚΟΣ ΒΑΣΙΛΕΙΟΣ</t>
        </is>
      </c>
      <c r="L14" s="9" t="inlineStr">
        <is>
          <t>ΓΚΙΟΝΑΙ ΟΡΕΣΤΗ</t>
        </is>
      </c>
      <c r="M14" s="9" t="n"/>
      <c r="N14" s="9" t="n"/>
      <c r="O14" s="9" t="n"/>
    </row>
    <row r="15">
      <c r="A15" s="7">
        <f>IF(B15="","",CHOOSE(WEEKDAY(B15,2),"Δευτέρα","Τρίτη","Τετάρτη","Πέμπτη","Παρασκευή","Σάββατο","Κυριακή"))</f>
        <v/>
      </c>
      <c r="B15" s="8">
        <f>IF(12&lt;=DAY(EOMONTH($B$1,0)),DATE(YEAR($B$1),MONTH($B$1),12),"")</f>
        <v/>
      </c>
      <c r="C15" s="9" t="inlineStr">
        <is>
          <t>ΚΟΥΝΑΝΗΣ ΚΥΡΙΑΚΟΣ</t>
        </is>
      </c>
      <c r="D15" s="9" t="inlineStr">
        <is>
          <t>ΚΑΤΣΑΡΗΣ ΑΘΑΝΑΣΙΟΣ</t>
        </is>
      </c>
      <c r="E15" s="9" t="n"/>
      <c r="F15" s="9" t="inlineStr">
        <is>
          <t>ΠΛΕΜΜΕΝΟΣ ΠΡΟΔΡΟΜΟΣ</t>
        </is>
      </c>
      <c r="G15" s="9" t="inlineStr">
        <is>
          <t>ΑΛΕΞΑΝΔΡΙΔΗΣ ΣΤΑΥΡΟΣ</t>
        </is>
      </c>
      <c r="H15" s="9" t="inlineStr">
        <is>
          <t>ΚΑΠΟΥΛΑΣ ΗΛΙΑΣ</t>
        </is>
      </c>
      <c r="I15" s="9" t="n"/>
      <c r="J15" s="9" t="inlineStr">
        <is>
          <t>ΠΕΡΡΑΚΗΣ ΦΑΙΔΩΝ ΑΘΑΝΑΣΙΟΣ (ΑΝΑΡΩΤΙΚΗ)</t>
        </is>
      </c>
      <c r="K15" s="9" t="inlineStr">
        <is>
          <t>ΒΟΛΤΥΡΑΚΗΣ ΧΡΗΣΤΟΣ (MONO ΒΑΥΔΜ)</t>
        </is>
      </c>
      <c r="L15" s="9" t="inlineStr">
        <is>
          <t>ΚΤΕΝΑΣ ΘΩΜΑΣ (ΜΟΝΟ ΚΑΘΗΜ)</t>
        </is>
      </c>
      <c r="M15" s="9" t="n"/>
      <c r="N15" s="9" t="n"/>
      <c r="O15" s="9" t="n"/>
    </row>
    <row r="16">
      <c r="A16" s="7">
        <f>IF(B16="","",CHOOSE(WEEKDAY(B16,2),"Δευτέρα","Τρίτη","Τετάρτη","Πέμπτη","Παρασκευή","Σάββατο","Κυριακή"))</f>
        <v/>
      </c>
      <c r="B16" s="8">
        <f>IF(13&lt;=DAY(EOMONTH($B$1,0)),DATE(YEAR($B$1),MONTH($B$1),13),"")</f>
        <v/>
      </c>
      <c r="C16" s="9" t="inlineStr">
        <is>
          <t>ΔΟΥΜΑΝΟΓΛΟΥ ΗΛΙΑΣ</t>
        </is>
      </c>
      <c r="D16" s="9" t="inlineStr">
        <is>
          <t>ΠΗΓΑΚΗΣ ΝΙΚΟΛΑΟΣ ΜΙΧΑΗΛ (Ι2) (ΤΡΙΤΗ-ΤΕΤΑΡΤΗ)</t>
        </is>
      </c>
      <c r="E16" s="9" t="inlineStr">
        <is>
          <t>ΑΛΕΞΑΝΔΡΑΚΗΣ ΠΑΝΑΓΙΩΤΗΣ</t>
        </is>
      </c>
      <c r="F16" s="9" t="inlineStr">
        <is>
          <t>ΓΚΙΟΝΑΙ ΟΡΕΣΤΗ</t>
        </is>
      </c>
      <c r="G16" s="9" t="n"/>
      <c r="H16" s="9" t="inlineStr">
        <is>
          <t>ΣΙΑΓΚΑΣ ΑΘΑΝΑΣΙΟΣ</t>
        </is>
      </c>
      <c r="I16" s="9" t="inlineStr">
        <is>
          <t>ΔΑΡΜΑΡΑΚΗΣ ΠΑΝΑΓΙΩΤΗΣ (ΜΟΝΟ ΚΑΘΗΜ)</t>
        </is>
      </c>
      <c r="J16" s="9" t="inlineStr">
        <is>
          <t>ΖΑΡΜΑΚΟΥΠΗΣ ΓΕΩΡΓΙΟΣ</t>
        </is>
      </c>
      <c r="K16" s="9" t="inlineStr">
        <is>
          <t>ΠΑΝΟΥΣΗΣ ΚΩΝΣΤΑΝΤΙΝΟΣ</t>
        </is>
      </c>
      <c r="L16" s="9" t="inlineStr">
        <is>
          <t>ΛΙΑΠΗΣ ΘΕΟΔΩΡΟΣ (ΑΝΑΡΡΩΤΙΚΗ)</t>
        </is>
      </c>
      <c r="M16" s="9" t="n"/>
      <c r="N16" s="9" t="n"/>
      <c r="O16" s="9" t="n"/>
    </row>
    <row r="17">
      <c r="A17" s="7">
        <f>IF(B17="","",CHOOSE(WEEKDAY(B17,2),"Δευτέρα","Τρίτη","Τετάρτη","Πέμπτη","Παρασκευή","Σάββατο","Κυριακή"))</f>
        <v/>
      </c>
      <c r="B17" s="8">
        <f>IF(14&lt;=DAY(EOMONTH($B$1,0)),DATE(YEAR($B$1),MONTH($B$1),14),"")</f>
        <v/>
      </c>
      <c r="C17" s="9" t="inlineStr">
        <is>
          <t>ΠΑΠΑΓΕΩΡΓΙΟΥ ΛΟΥΚΑΣ ΑΛΕΞΑΝΔΡΟΣ 1-2 ΜΗΝΑ</t>
        </is>
      </c>
      <c r="D17" s="9" t="inlineStr">
        <is>
          <t>ΠΙΕΡΡΟΣ ΠΑΝΑΓΙΩΤΗΣ (Ι2)</t>
        </is>
      </c>
      <c r="E17" s="9" t="inlineStr">
        <is>
          <t>ΣΠΥΡΙΔΗΣ ΟΡΕΣΤΗΣ</t>
        </is>
      </c>
      <c r="F17" s="9" t="inlineStr">
        <is>
          <t>ΦΕΡΓΑΔΗΣ ΚΩΝΣΤΑΝΤΙΝΟΣ</t>
        </is>
      </c>
      <c r="G17" s="9" t="n"/>
      <c r="H17" s="9" t="inlineStr">
        <is>
          <t>ΛΙΑΠΗΣ ΘΕΟΔΩΡΟΣ (ΑΝΑΡΡΩΤΙΚΗ)</t>
        </is>
      </c>
      <c r="I17" s="9" t="n"/>
      <c r="J17" s="9" t="inlineStr">
        <is>
          <t>ΑΠΟΣΤΟΛΟΥ ΚΩΝΣΤΑΝΤΙΝΟΣ</t>
        </is>
      </c>
      <c r="K17" s="9" t="inlineStr">
        <is>
          <t>ΒΑΚΑΛΗΣ ΑΝΤΩΝΙΟΣ</t>
        </is>
      </c>
      <c r="L17" s="9" t="inlineStr">
        <is>
          <t>ΠΑΠΠΑΣ ΕΛΕΥΘΕΡΙΟΣ</t>
        </is>
      </c>
      <c r="M17" s="9" t="n"/>
      <c r="N17" s="9" t="n"/>
      <c r="O17" s="9" t="n"/>
    </row>
    <row r="18">
      <c r="A18" s="7">
        <f>IF(B18="","",CHOOSE(WEEKDAY(B18,2),"Δευτέρα","Τρίτη","Τετάρτη","Πέμπτη","Παρασκευή","Σάββατο","Κυριακή"))</f>
        <v/>
      </c>
      <c r="B18" s="8">
        <f>IF(15&lt;=DAY(EOMONTH($B$1,0)),DATE(YEAR($B$1),MONTH($B$1),15),"")</f>
        <v/>
      </c>
      <c r="C18" s="9" t="inlineStr">
        <is>
          <t>ΓΙΑΝΝΑΚΟΠΟΥΛΟΣ ΑΛΕΞΑΝΔΡΟΣ</t>
        </is>
      </c>
      <c r="D18" s="9" t="inlineStr">
        <is>
          <t>ΧΕΙΡΔΑΡΗΣ ΚΩΝΣΤΑΝΤΙΝΟΣ</t>
        </is>
      </c>
      <c r="E18" s="9" t="inlineStr">
        <is>
          <t>ΚΑΡΑΜΑΝΗΣ ΝΙΚΟΛΑΟΣ</t>
        </is>
      </c>
      <c r="F18" s="9" t="inlineStr">
        <is>
          <t>ΚΑΤΣΑΡΑΣ ΒΑΣΙΛΕΙΟΣ</t>
        </is>
      </c>
      <c r="G18" s="9" t="n"/>
      <c r="H18" s="9" t="inlineStr">
        <is>
          <t>ΣΠΥΡΟΠΟΥΛΟΣ ΔΙΟΝΥΣΙΟΣ</t>
        </is>
      </c>
      <c r="I18" s="9" t="n"/>
      <c r="J18" s="9" t="inlineStr">
        <is>
          <t>ΛΥΜΠΕΡΑΤΟΣ ΑΝΔΡΕΑΣ (ΟΧΙ ΣΚ) (ΣΤΗΝ ΑΝΑΓΚΗ 1 ΒΑΥΔΜ ΣΚ)</t>
        </is>
      </c>
      <c r="K18" s="9" t="inlineStr">
        <is>
          <t>ΜΥΡΤΑ ΡΕΝΑΤΟ</t>
        </is>
      </c>
      <c r="L18" s="9" t="inlineStr">
        <is>
          <t>ΜΠΑΖΑΝΗΣ ΘΩΜΑΣ ΝΙΚΟΛΑΟΣ (ΚΑΘ ΠΡΟΤΙΜΗΣΗ)</t>
        </is>
      </c>
      <c r="M18" s="9" t="n"/>
      <c r="N18" s="9" t="n"/>
      <c r="O18" s="9" t="n"/>
    </row>
    <row r="19">
      <c r="A19" s="7">
        <f>IF(B19="","",CHOOSE(WEEKDAY(B19,2),"Δευτέρα","Τρίτη","Τετάρτη","Πέμπτη","Παρασκευή","Σάββατο","Κυριακή"))</f>
        <v/>
      </c>
      <c r="B19" s="8">
        <f>IF(16&lt;=DAY(EOMONTH($B$1,0)),DATE(YEAR($B$1),MONTH($B$1),16),"")</f>
        <v/>
      </c>
      <c r="C19" s="9" t="inlineStr">
        <is>
          <t>ΛΥΚΟΥΡΑΣ ΛΑΜΠΡΟΣ</t>
        </is>
      </c>
      <c r="D19" s="9" t="inlineStr">
        <is>
          <t>ΚΑΡΡΑΣ ΦΑΝΗΣ ΓΕΩΡΓΙΟΣ</t>
        </is>
      </c>
      <c r="E19" s="9" t="inlineStr">
        <is>
          <t>ΘΕΟΦΙΛΟΓΙΑΝΝΑΚΟΣ ΒΑΣΙΛΕΙΟΣ</t>
        </is>
      </c>
      <c r="F19" s="9" t="inlineStr">
        <is>
          <t>ΤΣΕΛΕΠΙΔΗΣ ΣΑΒΒΑΣ</t>
        </is>
      </c>
      <c r="G19" s="9" t="n"/>
      <c r="H19" s="9" t="inlineStr">
        <is>
          <t>ΚΑΚΟΥΡΑΣ ΓΕΩΡΓΙΟΣ</t>
        </is>
      </c>
      <c r="I19" s="9" t="inlineStr">
        <is>
          <t>ΜΗΤΣΟΥ ΜΑΡΙΟΣ ΝΑΠΟΛΕΩΝ</t>
        </is>
      </c>
      <c r="J19" s="9" t="inlineStr">
        <is>
          <t>ΚΑΒΟΥΡΑΣ ΣΤΑΜΑΤΗΣ</t>
        </is>
      </c>
      <c r="K19" s="9" t="inlineStr">
        <is>
          <t>ΣΤΡΑΤΟΣ ΒΑΣΙΛΕΙΟΣ</t>
        </is>
      </c>
      <c r="L19" s="9" t="inlineStr">
        <is>
          <t>ΣΤΕΡΓΙΟΥ ΜΙΧΑΗΛ</t>
        </is>
      </c>
      <c r="M19" s="9" t="n"/>
      <c r="N19" s="9" t="n"/>
      <c r="O19" s="9" t="n"/>
    </row>
    <row r="20">
      <c r="A20" s="7">
        <f>IF(B20="","",CHOOSE(WEEKDAY(B20,2),"Δευτέρα","Τρίτη","Τετάρτη","Πέμπτη","Παρασκευή","Σάββατο","Κυριακή"))</f>
        <v/>
      </c>
      <c r="B20" s="8">
        <f>IF(17&lt;=DAY(EOMONTH($B$1,0)),DATE(YEAR($B$1),MONTH($B$1),17),"")</f>
        <v/>
      </c>
      <c r="C20" s="9" t="inlineStr">
        <is>
          <t>ΦΙΝΕΣ ΛΟΥΚΑΣ</t>
        </is>
      </c>
      <c r="D20" s="9" t="inlineStr">
        <is>
          <t>ΕΥΑΓΓΕΛΙΝΟΣ ΜΙΧΑΗΛ</t>
        </is>
      </c>
      <c r="E20" s="9" t="n"/>
      <c r="F20" s="9" t="inlineStr">
        <is>
          <t>ΓΙΑΝΝΟΓΛΟΥ ΠΑΡΘΕΝΙΟΣ ΑΓΓΕΛΟΣ</t>
        </is>
      </c>
      <c r="G20" s="9" t="inlineStr">
        <is>
          <t>ΜΑΣΟΥΡΗΣ ΚΩΝΣΤΑΝΤΙΝΟΣ</t>
        </is>
      </c>
      <c r="H20" s="9" t="inlineStr">
        <is>
          <t>ΑΓΓΕΛΟΓΙΑΝΝΟΠΟΥΛΟΣ ΜΑΡΙΟΣ</t>
        </is>
      </c>
      <c r="I20" s="9" t="n"/>
      <c r="J20" s="9" t="inlineStr">
        <is>
          <t>ΚΟΥΛΟΠΟΥΛΟΣ ΓΕΡΑΣΙΜΟΣ</t>
        </is>
      </c>
      <c r="K20" s="9" t="inlineStr">
        <is>
          <t>ΖΑΡΜΑΚΟΥΠΗΣ ΓΕΩΡΓΙΟΣ</t>
        </is>
      </c>
      <c r="L20" s="9" t="inlineStr">
        <is>
          <t>ΧΙΟΝΑΣ ΔΗΜΗΤΡΙΟΣ</t>
        </is>
      </c>
      <c r="M20" s="9" t="n"/>
      <c r="N20" s="9" t="n"/>
      <c r="O20" s="9" t="n"/>
    </row>
    <row r="21">
      <c r="A21" s="7">
        <f>IF(B21="","",CHOOSE(WEEKDAY(B21,2),"Δευτέρα","Τρίτη","Τετάρτη","Πέμπτη","Παρασκευή","Σάββατο","Κυριακή"))</f>
        <v/>
      </c>
      <c r="B21" s="8">
        <f>IF(18&lt;=DAY(EOMONTH($B$1,0)),DATE(YEAR($B$1),MONTH($B$1),18),"")</f>
        <v/>
      </c>
      <c r="C21" s="9" t="inlineStr">
        <is>
          <t>ΜΙΧΑΛΙΩΔΗΣ ΔΟΥΚΑΣ ΤΑΞΙΑΡΧΗΣ</t>
        </is>
      </c>
      <c r="D21" s="9" t="inlineStr">
        <is>
          <t>ΒΑΚΑΛΗΣ ΑΝΤΩΝΙΟΣ</t>
        </is>
      </c>
      <c r="E21" s="9" t="inlineStr">
        <is>
          <t>ΚΙΝΙΝΗΣ ΔΗΜΗΤΡΙΟΣ</t>
        </is>
      </c>
      <c r="F21" s="9" t="inlineStr">
        <is>
          <t>ΧΑΤΖΗΓΕΩΡΓΙΟΥ ΔΗΜΗΤΡΙΟΣ</t>
        </is>
      </c>
      <c r="G21" s="9" t="n"/>
      <c r="H21" s="9" t="inlineStr">
        <is>
          <t>ΜΑΓΚΟΣ ΓΕΩΡΓΙΟΣ(ΜΟΝΟ ΒΑΥΔΜ ΕΣΤ)</t>
        </is>
      </c>
      <c r="I21" s="9" t="inlineStr">
        <is>
          <t>ΚΩΣΤΟΓΙΑΝΝΗΣ ΓΕΩΡΓΙΟΣ</t>
        </is>
      </c>
      <c r="J21" s="9" t="inlineStr">
        <is>
          <t>ΤΖΙΩΤΑΚΗΣ ΓΕΩΡΓΙΟΣ</t>
        </is>
      </c>
      <c r="K21" s="9" t="inlineStr">
        <is>
          <t>ΣΠΥΡΙΔΗΣ ΟΡΕΣΤΗΣ</t>
        </is>
      </c>
      <c r="L21" s="9" t="inlineStr">
        <is>
          <t>ΛΙΑΠΗΣ ΘΕΟΔΩΡΟΣ (ΑΝΑΡΡΩΤΙΚΗ)</t>
        </is>
      </c>
      <c r="M21" s="9" t="n"/>
      <c r="N21" s="9" t="n"/>
      <c r="O21" s="9" t="n"/>
    </row>
    <row r="22">
      <c r="A22" s="7">
        <f>IF(B22="","",CHOOSE(WEEKDAY(B22,2),"Δευτέρα","Τρίτη","Τετάρτη","Πέμπτη","Παρασκευή","Σάββατο","Κυριακή"))</f>
        <v/>
      </c>
      <c r="B22" s="8">
        <f>IF(19&lt;=DAY(EOMONTH($B$1,0)),DATE(YEAR($B$1),MONTH($B$1),19),"")</f>
        <v/>
      </c>
      <c r="C22" s="9" t="inlineStr">
        <is>
          <t>ΠΑΝΟΥΣΗΣ ΚΩΝΣΤΑΝΤΙΝΟΣ</t>
        </is>
      </c>
      <c r="D22" s="9" t="inlineStr">
        <is>
          <t>ΡΟΥΣΚΑΣ ΔΗΜΗΤΡΙΟΣ</t>
        </is>
      </c>
      <c r="E22" s="9" t="n"/>
      <c r="F22" s="9" t="inlineStr">
        <is>
          <t>ΜΠΟΥΚΟΥΡΑΣ ΕΠΑΜΕΙΝΩΝΔΑΣ</t>
        </is>
      </c>
      <c r="G22" s="9" t="inlineStr">
        <is>
          <t>ΧΟΣΑΦΙ ΑΡΜΠΗ</t>
        </is>
      </c>
      <c r="H22" s="9" t="inlineStr">
        <is>
          <t>ΧΙΟΝΑΣ ΔΗΜΗΤΡΙΟΣ</t>
        </is>
      </c>
      <c r="I22" s="9" t="n"/>
      <c r="J22" s="9" t="inlineStr">
        <is>
          <t>ΠΑΡΑΣΧΑΚΗΣ ΔΗΜΗΤΡΙΟΣ</t>
        </is>
      </c>
      <c r="K22" s="9" t="inlineStr">
        <is>
          <t>ΔΟΥΜΑΝΟΓΛΟΥ ΗΛΙΑΣ</t>
        </is>
      </c>
      <c r="L22" s="9" t="inlineStr">
        <is>
          <t>ΚΑΚΟΥΡΑΣ ΓΕΩΡΓΙΟΣ</t>
        </is>
      </c>
      <c r="M22" s="9" t="n"/>
      <c r="N22" s="9" t="n"/>
      <c r="O22" s="9" t="n"/>
    </row>
    <row r="23">
      <c r="A23" s="7">
        <f>IF(B23="","",CHOOSE(WEEKDAY(B23,2),"Δευτέρα","Τρίτη","Τετάρτη","Πέμπτη","Παρασκευή","Σάββατο","Κυριακή"))</f>
        <v/>
      </c>
      <c r="B23" s="8">
        <f>IF(20&lt;=DAY(EOMONTH($B$1,0)),DATE(YEAR($B$1),MONTH($B$1),20),"")</f>
        <v/>
      </c>
      <c r="C23" s="9" t="inlineStr">
        <is>
          <t>ΚΑΛΑΡΓΥΡΟΣ ΝΙΚΟΛΑΟΣ</t>
        </is>
      </c>
      <c r="D23" s="9" t="inlineStr">
        <is>
          <t>ΠΟΤΟΛΙΑΣ ΑΝΑΣΤΑΣΙΟΣ</t>
        </is>
      </c>
      <c r="E23" s="9" t="inlineStr">
        <is>
          <t>ΣΤΑΜΑΤΟΓΛΟΥ ΔΗΜΗΤΡΙΟΣ</t>
        </is>
      </c>
      <c r="F23" s="9" t="inlineStr">
        <is>
          <t>ΑΛΕΞΑΝΔΡΑΚΗΣ ΠΑΝΑΓΙΩΤΗΣ</t>
        </is>
      </c>
      <c r="G23" s="9" t="n"/>
      <c r="H23" s="9" t="inlineStr">
        <is>
          <t>ΦΟΥΝΤΟΡΑΔΑΚΗΣ ΙΩΣΗΦ (ΠΡΟΤΙΜΗΣΗ ΠΑΡΑΣΚΕΥΗ)</t>
        </is>
      </c>
      <c r="I23" s="9" t="inlineStr">
        <is>
          <t>ΓΚΙΟΝΑΙ ΟΡΕΣΤΗ</t>
        </is>
      </c>
      <c r="J23" s="9" t="inlineStr">
        <is>
          <t>ΜΥΡΤΑ ΡΕΝΑΤΟ</t>
        </is>
      </c>
      <c r="K23" s="9" t="inlineStr">
        <is>
          <t>ΠΑΠΑΓΕΩΡΓΙΟΥ ΛΟΥΚΑΣ ΑΛΕΞΑΝΔΡΟΣ 1-2 ΜΗΝΑ</t>
        </is>
      </c>
      <c r="L23" s="9" t="inlineStr">
        <is>
          <t>ΠΑΠΠΑΣ ΕΛΕΥΘΕΡΙΟΣ</t>
        </is>
      </c>
      <c r="M23" s="9" t="n"/>
      <c r="N23" s="9" t="n"/>
      <c r="O23" s="9" t="n"/>
    </row>
    <row r="24">
      <c r="A24" s="7">
        <f>IF(B24="","",CHOOSE(WEEKDAY(B24,2),"Δευτέρα","Τρίτη","Τετάρτη","Πέμπτη","Παρασκευή","Σάββατο","Κυριακή"))</f>
        <v/>
      </c>
      <c r="B24" s="8">
        <f>IF(21&lt;=DAY(EOMONTH($B$1,0)),DATE(YEAR($B$1),MONTH($B$1),21),"")</f>
        <v/>
      </c>
      <c r="C24" s="9" t="inlineStr">
        <is>
          <t>ΚΑΤΣΑΡΗΣ ΑΘΑΝΑΣΙΟΣ</t>
        </is>
      </c>
      <c r="D24" s="9" t="inlineStr">
        <is>
          <t>ΖΑΡΜΑΚΟΥΠΗΣ ΓΕΩΡΓΙΟΣ</t>
        </is>
      </c>
      <c r="E24" s="9" t="inlineStr">
        <is>
          <t>ΠΗΓΑΚΗΣ ΝΙΚΟΛΑΟΣ ΜΙΧΑΗΛ (Ι2) (ΤΡΙΤΗ-ΤΕΤΑΡΤΗ)</t>
        </is>
      </c>
      <c r="F24" s="9" t="inlineStr">
        <is>
          <t>ΜΠΑΡΑΛΗΣ ΗΛΙΑΣ</t>
        </is>
      </c>
      <c r="G24" s="9" t="n"/>
      <c r="H24" s="9" t="inlineStr">
        <is>
          <t>ΒΕΛΙΣΣΑΡΗΣ ΙΩΑΝΝΗΣ 1 ΥΠ ΤΟΝ ΜΗΝΑ (ΜΛΣΝ) (ΔΕΥΤΕΡΗ ΣΤΗΝ ΑΝΑΓΚΗ)</t>
        </is>
      </c>
      <c r="I24" s="9" t="n"/>
      <c r="J24" s="9" t="inlineStr">
        <is>
          <t>ΚΑΠΟΥΛΑΣ ΗΛΙΑΣ</t>
        </is>
      </c>
      <c r="K24" s="9" t="inlineStr">
        <is>
          <t>ΚΑΡΑΣΑΒΒΑΣ ΠΑΝΤΕΛΕΗΜΩΝ</t>
        </is>
      </c>
      <c r="L24" s="9" t="inlineStr">
        <is>
          <t>ΛΙΑΠΗΣ ΘΕΟΔΩΡΟΣ (ΑΝΑΡΡΩΤΙΚΗ)</t>
        </is>
      </c>
      <c r="M24" s="9" t="n"/>
      <c r="N24" s="9" t="n"/>
      <c r="O24" s="9" t="n"/>
    </row>
    <row r="25">
      <c r="A25" s="7">
        <f>IF(B25="","",CHOOSE(WEEKDAY(B25,2),"Δευτέρα","Τρίτη","Τετάρτη","Πέμπτη","Παρασκευή","Σάββατο","Κυριακή"))</f>
        <v/>
      </c>
      <c r="B25" s="8">
        <f>IF(22&lt;=DAY(EOMONTH($B$1,0)),DATE(YEAR($B$1),MONTH($B$1),22),"")</f>
        <v/>
      </c>
      <c r="C25" s="9" t="inlineStr">
        <is>
          <t>ΔΟΥΜΑΝΟΓΛΟΥ ΗΛΙΑΣ</t>
        </is>
      </c>
      <c r="D25" s="9" t="inlineStr">
        <is>
          <t>ΚΟΥΝΑΝΗΣ ΚΥΡΙΑΚΟΣ</t>
        </is>
      </c>
      <c r="E25" s="9" t="inlineStr">
        <is>
          <t>ΣΤΡΑΤΟΣ ΒΑΣΙΛΕΙΟΣ</t>
        </is>
      </c>
      <c r="F25" s="9" t="inlineStr">
        <is>
          <t>ΜΑΛΤΑΣ ΓΕΩΡΓΙΟΣ</t>
        </is>
      </c>
      <c r="G25" s="9" t="n"/>
      <c r="H25" s="9" t="inlineStr">
        <is>
          <t>ΚΟΥΤΣΟΣ ΑΘΑΝΑΣΙΟΣ</t>
        </is>
      </c>
      <c r="I25" s="9" t="n"/>
      <c r="J25" s="9" t="inlineStr">
        <is>
          <t>ΜΠΑΖΑΝΗΣ ΘΩΜΑΣ ΝΙΚΟΛΑΟΣ (ΚΑΘ ΠΡΟΤΙΜΗΣΗ)</t>
        </is>
      </c>
      <c r="K25" s="9" t="inlineStr">
        <is>
          <t>ΚΑΡΑΙΣΚΑΚΗΣ ΓΕΩΡΓΙΟΣ  1 ΥΠ ΤΟΝ ΜΗΝΑ (ΜΟΝΟ ΚΑΘ)</t>
        </is>
      </c>
      <c r="L25" s="9" t="inlineStr">
        <is>
          <t>ΚΑΡΡΑΣ ΦΑΝΗΣ ΓΕΩΡΓΙΟΣ</t>
        </is>
      </c>
      <c r="M25" s="9" t="n"/>
      <c r="N25" s="9" t="n"/>
      <c r="O25" s="9" t="n"/>
    </row>
    <row r="26">
      <c r="A26" s="7">
        <f>IF(B26="","",CHOOSE(WEEKDAY(B26,2),"Δευτέρα","Τρίτη","Τετάρτη","Πέμπτη","Παρασκευή","Σάββατο","Κυριακή"))</f>
        <v/>
      </c>
      <c r="B26" s="8">
        <f>IF(23&lt;=DAY(EOMONTH($B$1,0)),DATE(YEAR($B$1),MONTH($B$1),23),"")</f>
        <v/>
      </c>
      <c r="C26" s="9" t="inlineStr">
        <is>
          <t>ΣΠΥΡΙΔΗΣ ΟΡΕΣΤΗΣ</t>
        </is>
      </c>
      <c r="D26" s="9" t="inlineStr">
        <is>
          <t>ΠΑΠΑΓΕΩΡΓΙΟΥ ΛΟΥΚΑΣ ΑΛΕΞΑΝΔΡΟΣ 1-2 ΜΗΝΑ</t>
        </is>
      </c>
      <c r="E26" s="9" t="inlineStr">
        <is>
          <t>ΚΑΡΑΣΑΒΒΑΣ ΠΑΝΤΕΛΕΗΜΩΝ</t>
        </is>
      </c>
      <c r="F26" s="9" t="inlineStr">
        <is>
          <t>ΤΣΟΡΩΤΑΣ ΧΑΡΑΛΑΜΠΟΣ (Ι3 ΑΟΠΛΟ)</t>
        </is>
      </c>
      <c r="G26" s="9" t="n"/>
      <c r="H26" s="9" t="inlineStr">
        <is>
          <t>ΑΚΡΙΒΟΣ ΝΙΚΟΛΑΟΣ</t>
        </is>
      </c>
      <c r="I26" s="9" t="inlineStr">
        <is>
          <t>ΠΑΠΠΑΣ ΕΛΕΥΘΕΡΙΟΣ</t>
        </is>
      </c>
      <c r="J26" s="9" t="inlineStr">
        <is>
          <t>ΒΕΪΟΓΛΑΝΗΣ ΙΩΑΝΝΗΣ (ΒΑΥΔΜ)</t>
        </is>
      </c>
      <c r="K26" s="9" t="inlineStr">
        <is>
          <t>ΜΠΟΥΚΟΥΡΑΣ ΕΠΑΜΕΙΝΩΝΔΑΣ</t>
        </is>
      </c>
      <c r="L26" s="9" t="inlineStr">
        <is>
          <t>ΛΥΜΠΕΡΑΤΟΣ ΑΝΔΡΕΑΣ (ΟΧΙ ΣΚ) (ΣΤΗΝ ΑΝΑΓΚΗ 1 ΒΑΥΔΜ ΣΚ)</t>
        </is>
      </c>
      <c r="M26" s="9" t="n"/>
      <c r="N26" s="9" t="n"/>
      <c r="O26" s="9" t="n"/>
    </row>
    <row r="27">
      <c r="A27" s="7">
        <f>IF(B27="","",CHOOSE(WEEKDAY(B27,2),"Δευτέρα","Τρίτη","Τετάρτη","Πέμπτη","Παρασκευή","Σάββατο","Κυριακή"))</f>
        <v/>
      </c>
      <c r="B27" s="8">
        <f>IF(24&lt;=DAY(EOMONTH($B$1,0)),DATE(YEAR($B$1),MONTH($B$1),24),"")</f>
        <v/>
      </c>
      <c r="C27" s="9" t="inlineStr">
        <is>
          <t>ΤΣΕΛΕΠΙΔΗΣ ΣΑΒΒΑΣ</t>
        </is>
      </c>
      <c r="D27" s="9" t="inlineStr">
        <is>
          <t>ΦΙΝΕΣ ΛΟΥΚΑΣ</t>
        </is>
      </c>
      <c r="E27" s="9" t="n"/>
      <c r="F27" s="9" t="inlineStr">
        <is>
          <t>ΜΑΣΟΥΡΗΣ ΚΩΝΣΤΑΝΤΙΝΟΣ</t>
        </is>
      </c>
      <c r="G27" s="9" t="inlineStr">
        <is>
          <t>ΛΙΑΠΗΣ ΘΕΟΔΩΡΟΣ (ΑΝΑΡΡΩΤΙΚΗ)</t>
        </is>
      </c>
      <c r="H27" s="9" t="inlineStr">
        <is>
          <t>ΘΩΜΟΠΟΥΛΟΣ ΔΗΜΗΤΡΙΟΣ (ΜΟΝΟ ΚΑΘΗΜΕΡΙΝΕΣ, ΜΠΟΡΕΙ ΚΑΙ Χ2 ΤΗΝ ΒΔΟΜΑΔΑ)</t>
        </is>
      </c>
      <c r="I27" s="9" t="n"/>
      <c r="J27" s="9" t="inlineStr">
        <is>
          <t>ΚΑΚΟΥΡΑΣ ΓΕΩΡΓΙΟΣ</t>
        </is>
      </c>
      <c r="K27" s="9" t="inlineStr">
        <is>
          <t>ΡΟΥΣΚΑΣ ΔΗΜΗΤΡΙΟΣ</t>
        </is>
      </c>
      <c r="L27" s="9" t="inlineStr">
        <is>
          <t>ΠΙΕΡΡΟΣ ΠΑΝΑΓΙΩΤΗΣ (Ι2)</t>
        </is>
      </c>
      <c r="M27" s="9" t="n"/>
      <c r="N27" s="9" t="n"/>
      <c r="O27" s="9" t="n"/>
    </row>
    <row r="28">
      <c r="A28" s="7">
        <f>IF(B28="","",CHOOSE(WEEKDAY(B28,2),"Δευτέρα","Τρίτη","Τετάρτη","Πέμπτη","Παρασκευή","Σάββατο","Κυριακή"))</f>
        <v/>
      </c>
      <c r="B28" s="8">
        <f>IF(25&lt;=DAY(EOMONTH($B$1,0)),DATE(YEAR($B$1),MONTH($B$1),25),"")</f>
        <v/>
      </c>
      <c r="C28" s="9" t="inlineStr">
        <is>
          <t>ΒΛΑΧΟΣ ΜΑΡΙΟΣ</t>
        </is>
      </c>
      <c r="D28" s="9" t="inlineStr">
        <is>
          <t>ΒΑΚΑΛΗΣ ΑΝΤΩΝΙΟΣ</t>
        </is>
      </c>
      <c r="E28" s="9" t="inlineStr">
        <is>
          <t>ΣΑΓΙΑΝΝΗΣ ΓΕΩΡΓΙΟΣ</t>
        </is>
      </c>
      <c r="F28" s="9" t="inlineStr">
        <is>
          <t>ΠΙΕΡΡΟΣ ΠΑΝΑΓΙΩΤΗΣ (Ι2)</t>
        </is>
      </c>
      <c r="G28" s="9" t="n"/>
      <c r="H28" s="9" t="inlineStr">
        <is>
          <t>ΚΩΝΣΤΑΝΤΙΝΙΔΗΣ ΙΩΑΝΝΗΣ</t>
        </is>
      </c>
      <c r="I28" s="9" t="inlineStr">
        <is>
          <t>ΚΥΡΙΑΚΙΔΗΣ ΧΡΗΣΤΟΣ</t>
        </is>
      </c>
      <c r="J28" s="9" t="inlineStr">
        <is>
          <t>ΠΛΕΜΜΕΝΟΣ ΠΡΟΔΡΟΜΟΣ</t>
        </is>
      </c>
      <c r="K28" s="9" t="inlineStr">
        <is>
          <t>ΜΠΑΡΑΛΗΣ ΗΛΙΑΣ</t>
        </is>
      </c>
      <c r="L28" s="9" t="inlineStr">
        <is>
          <t>ΒΟΛΤΥΡΑΚΗΣ ΧΡΗΣΤΟΣ (MONO ΒΑΥΔΜ)</t>
        </is>
      </c>
      <c r="M28" s="9" t="n"/>
      <c r="N28" s="9" t="n"/>
      <c r="O28" s="9" t="n"/>
    </row>
    <row r="29">
      <c r="A29" s="7">
        <f>IF(B29="","",CHOOSE(WEEKDAY(B29,2),"Δευτέρα","Τρίτη","Τετάρτη","Πέμπτη","Παρασκευή","Σάββατο","Κυριακή"))</f>
        <v/>
      </c>
      <c r="B29" s="8">
        <f>IF(26&lt;=DAY(EOMONTH($B$1,0)),DATE(YEAR($B$1),MONTH($B$1),26),"")</f>
        <v/>
      </c>
      <c r="C29" s="9" t="inlineStr">
        <is>
          <t>ΠΑΡΑΣΧΑΚΗΣ ΔΗΜΗΤΡΙΟΣ</t>
        </is>
      </c>
      <c r="D29" s="9" t="inlineStr">
        <is>
          <t>ΚΙΝΙΝΗΣ ΔΗΜΗΤΡΙΟΣ</t>
        </is>
      </c>
      <c r="E29" s="9" t="n"/>
      <c r="F29" s="9" t="inlineStr">
        <is>
          <t>ΜΠΟΥΚΟΥΡΑΣ ΕΠΑΜΕΙΝΩΝΔΑΣ</t>
        </is>
      </c>
      <c r="G29" s="9" t="inlineStr">
        <is>
          <t>ΓΙΑΝΝΑΚΟΠΟΥΛΟΣ ΑΛΕΞΑΝΔΡΟΣ</t>
        </is>
      </c>
      <c r="H29" s="9" t="inlineStr">
        <is>
          <t>ΓΑΡΓΑΛΗΣ ΒΑΣΙΛΕΙΟΣ 1-2 ΜΗΝΑ</t>
        </is>
      </c>
      <c r="I29" s="9" t="n"/>
      <c r="J29" s="9" t="inlineStr">
        <is>
          <t>ΣΠΥΡΟΠΟΥΛΟΣ ΔΙΟΝΥΣΙΟΣ</t>
        </is>
      </c>
      <c r="K29" s="9" t="inlineStr">
        <is>
          <t>ΜΥΡΤΑ ΡΕΝΑΤΟ</t>
        </is>
      </c>
      <c r="L29" s="9" t="inlineStr">
        <is>
          <t>ΚΑΡΡΑΣ ΦΑΝΗΣ ΓΕΩΡΓΙΟΣ</t>
        </is>
      </c>
      <c r="M29" s="9" t="n"/>
      <c r="N29" s="9" t="n"/>
      <c r="O29" s="9" t="n"/>
    </row>
    <row r="30">
      <c r="A30" s="7">
        <f>IF(B30="","",CHOOSE(WEEKDAY(B30,2),"Δευτέρα","Τρίτη","Τετάρτη","Πέμπτη","Παρασκευή","Σάββατο","Κυριακή"))</f>
        <v/>
      </c>
      <c r="B30" s="8">
        <f>IF(27&lt;=DAY(EOMONTH($B$1,0)),DATE(YEAR($B$1),MONTH($B$1),27),"")</f>
        <v/>
      </c>
      <c r="C30" s="9" t="inlineStr">
        <is>
          <t>ΚΑΡΑΜΑΝΗΣ ΝΙΚΟΛΑΟΣ</t>
        </is>
      </c>
      <c r="D30" s="9" t="inlineStr">
        <is>
          <t>ΠΑΝΟΥΣΗΣ ΚΩΝΣΤΑΝΤΙΝΟΣ</t>
        </is>
      </c>
      <c r="E30" s="9" t="inlineStr">
        <is>
          <t>ΕΥΑΓΓΕΛΙΝΟΣ ΜΙΧΑΗΛ</t>
        </is>
      </c>
      <c r="F30" s="9" t="inlineStr">
        <is>
          <t>ΚΑΛΑΡΓΥΡΟΣ ΝΙΚΟΛΑΟΣ</t>
        </is>
      </c>
      <c r="G30" s="9" t="n"/>
      <c r="H30" s="9" t="inlineStr">
        <is>
          <t>ΚΟΥΛΟΠΟΥΛΟΣ ΓΕΡΑΣΙΜΟΣ</t>
        </is>
      </c>
      <c r="I30" s="9" t="inlineStr">
        <is>
          <t>ΒΟΛΤΥΡΑΚΗΣ ΧΡΗΣΤΟΣ (MONO ΒΑΥΔΜ)</t>
        </is>
      </c>
      <c r="J30" s="9" t="inlineStr">
        <is>
          <t>ΑΓΓΕΛΟΓΙΑΝΝΟΠΟΥΛΟΣ ΜΑΡΙΟΣ</t>
        </is>
      </c>
      <c r="K30" s="9" t="inlineStr">
        <is>
          <t>ΣΥΝΟΔΙΝΟΣ ΕΡΩΤΟΚΡΙΤΟΣ</t>
        </is>
      </c>
      <c r="L30" s="9" t="inlineStr">
        <is>
          <t>ΠΑΠΑΓΕΩΡΓΙΟΥ ΛΟΥΚΑΣ ΑΛΕΞΑΝΔΡΟΣ 1-2 ΜΗΝΑ</t>
        </is>
      </c>
      <c r="M30" s="9" t="n"/>
      <c r="N30" s="9" t="n"/>
      <c r="O30" s="9" t="n"/>
    </row>
    <row r="31">
      <c r="A31" s="7">
        <f>IF(B31="","",CHOOSE(WEEKDAY(B31,2),"Δευτέρα","Τρίτη","Τετάρτη","Πέμπτη","Παρασκευή","Σάββατο","Κυριακή"))</f>
        <v/>
      </c>
      <c r="B31" s="8">
        <f>IF(28&lt;=DAY(EOMONTH($B$1,0)),DATE(YEAR($B$1),MONTH($B$1),28),"")</f>
        <v/>
      </c>
      <c r="C31" s="9" t="inlineStr">
        <is>
          <t>ΣΤΑΜΑΤΟΓΛΟΥ ΔΗΜΗΤΡΙΟΣ</t>
        </is>
      </c>
      <c r="D31" s="9" t="inlineStr">
        <is>
          <t>ΠΟΤΟΛΙΑΣ ΑΝΑΣΤΑΣΙΟΣ</t>
        </is>
      </c>
      <c r="E31" s="9" t="inlineStr">
        <is>
          <t>ΧΟΣΑΦΙ ΑΡΜΠΗ</t>
        </is>
      </c>
      <c r="F31" s="9" t="inlineStr">
        <is>
          <t>ΕΛΕΥΘΕΡΙΟΥ ΑΝΤΩΝΙΟΣ</t>
        </is>
      </c>
      <c r="G31" s="9" t="n"/>
      <c r="H31" s="9" t="inlineStr">
        <is>
          <t>ΜΑΓΚΟΣ ΓΕΩΡΓΙΟΣ(ΜΟΝΟ ΒΑΥΔΜ ΕΣΤ)</t>
        </is>
      </c>
      <c r="I31" s="9" t="n"/>
      <c r="J31" s="9" t="inlineStr">
        <is>
          <t>ΚΑΡΡΑΣ ΦΑΝΗΣ ΓΕΩΡΓΙΟΣ</t>
        </is>
      </c>
      <c r="K31" s="9" t="inlineStr">
        <is>
          <t>ΚΑΡΑΙΣΚΑΚΗΣ ΓΕΩΡΓΙΟΣ  1 ΥΠ ΤΟΝ ΜΗΝΑ (ΜΟΝΟ ΚΑΘ)</t>
        </is>
      </c>
      <c r="L31" s="9" t="inlineStr">
        <is>
          <t>ΜΠΑΡΑΛΗΣ ΗΛΙΑΣ</t>
        </is>
      </c>
      <c r="M31" s="9" t="n"/>
      <c r="N31" s="9" t="n"/>
      <c r="O31" s="9" t="n"/>
    </row>
    <row r="32">
      <c r="A32" s="7">
        <f>IF(B32="","",CHOOSE(WEEKDAY(B32,2),"Δευτέρα","Τρίτη","Τετάρτη","Πέμπτη","Παρασκευή","Σάββατο","Κυριακή"))</f>
        <v/>
      </c>
      <c r="B32" s="8">
        <f>IF(29&lt;=DAY(EOMONTH($B$1,0)),DATE(YEAR($B$1),MONTH($B$1),29),"")</f>
        <v/>
      </c>
      <c r="C32" s="9" t="inlineStr">
        <is>
          <t>ΑΛΕΞΑΝΔΡΑΚΗΣ ΠΑΝΑΓΙΩΤΗΣ</t>
        </is>
      </c>
      <c r="D32" s="9" t="inlineStr">
        <is>
          <t>ΡΟΥΣΚΑΣ ΔΗΜΗΤΡΙΟΣ</t>
        </is>
      </c>
      <c r="E32" s="9" t="inlineStr">
        <is>
          <t>ΜΥΡΤΑ ΡΕΝΑΤΟ</t>
        </is>
      </c>
      <c r="F32" s="9" t="inlineStr">
        <is>
          <t>ΓΚΙΟΝΑΙ ΟΡΕΣΤΗ</t>
        </is>
      </c>
      <c r="G32" s="9" t="n"/>
      <c r="H32" s="9" t="inlineStr">
        <is>
          <t>ΧΑΤΖΗΓΕΩΡΓΙΟΥ ΔΗΜΗΤΡΙΟΣ</t>
        </is>
      </c>
      <c r="I32" s="9" t="n"/>
      <c r="J32" s="9" t="inlineStr">
        <is>
          <t>ΣΙΑΓΚΑΣ ΑΘΑΝΑΣΙΟΣ</t>
        </is>
      </c>
      <c r="K32" s="9" t="inlineStr">
        <is>
          <t>ΧΕΙΡΔΑΡΗΣ ΚΩΝΣΤΑΝΤΙΝΟΣ</t>
        </is>
      </c>
      <c r="L32" s="9" t="inlineStr">
        <is>
          <t>ΠΙΕΡΡΟΣ ΠΑΝΑΓΙΩΤΗΣ (Ι2)</t>
        </is>
      </c>
      <c r="M32" s="9" t="n"/>
      <c r="N32" s="9" t="n"/>
      <c r="O32" s="9" t="n"/>
    </row>
    <row r="33">
      <c r="A33" s="7">
        <f>IF(B33="","",CHOOSE(WEEKDAY(B33,2),"Δευτέρα","Τρίτη","Τετάρτη","Πέμπτη","Παρασκευή","Σάββατο","Κυριακή"))</f>
        <v/>
      </c>
      <c r="B33" s="8">
        <f>IF(30&lt;=DAY(EOMONTH($B$1,0)),DATE(YEAR($B$1),MONTH($B$1),30),"")</f>
        <v/>
      </c>
      <c r="C33" s="9" t="inlineStr">
        <is>
          <t>ΚΟΥΝΑΝΗΣ ΚΥΡΙΑΚΟΣ</t>
        </is>
      </c>
      <c r="D33" s="9" t="inlineStr">
        <is>
          <t>ΜΙΧΑΛΙΩΔΗΣ ΔΟΥΚΑΣ ΤΑΞΙΑΡΧΗΣ</t>
        </is>
      </c>
      <c r="E33" s="9" t="inlineStr">
        <is>
          <t>ΜΠΑΡΑΛΗΣ ΗΛΙΑΣ</t>
        </is>
      </c>
      <c r="F33" s="9" t="inlineStr">
        <is>
          <t>ΒΑΣΙΛΟΠΟΥΛΟΣ ΧΡΥΣΟΒΑΛΆΝΤΗΣ</t>
        </is>
      </c>
      <c r="G33" s="9" t="n"/>
      <c r="H33" s="9" t="inlineStr">
        <is>
          <t>ΑΒΡΑΜΗΛΑΣ ΓΕΩΡΓΙΟΣ Π. (ΟΧΙ ΜΛΣΝ)</t>
        </is>
      </c>
      <c r="I33" s="9" t="inlineStr">
        <is>
          <t>ΚΑΤΣΕΝΙΟΣ ΑΘΑΝ. 1 ΕΤΑΦ 3 ΒΑΥΔΜ</t>
        </is>
      </c>
      <c r="J33" s="9" t="inlineStr">
        <is>
          <t>ΜΠΑΖΑΝΗΣ ΘΩΜΑΣ ΝΙΚΟΛΑΟΣ (ΚΑΘ ΠΡΟΤΙΜΗΣΗ)</t>
        </is>
      </c>
      <c r="K33" s="9" t="inlineStr">
        <is>
          <t>ΒΟΛΤΥΡΑΚΗΣ ΧΡΗΣΤΟΣ (MONO ΒΑΥΔΜ)</t>
        </is>
      </c>
      <c r="L33" s="9" t="inlineStr">
        <is>
          <t>ΖΑΡΜΑΚΟΥΠΗΣ ΓΕΩΡΓΙΟΣ</t>
        </is>
      </c>
      <c r="M33" s="9" t="n"/>
      <c r="N33" s="9" t="n"/>
      <c r="O33" s="9" t="n"/>
    </row>
    <row r="34">
      <c r="A34" s="7">
        <f>IF(B34="","",CHOOSE(WEEKDAY(B34,2),"Δευτέρα","Τρίτη","Τετάρτη","Πέμπτη","Παρασκευή","Σάββατο","Κυριακή"))</f>
        <v/>
      </c>
      <c r="B34" s="8">
        <f>IF(31&lt;=DAY(EOMONTH($B$1,0)),DATE(YEAR($B$1),MONTH($B$1),31),"")</f>
        <v/>
      </c>
      <c r="C34" s="9" t="inlineStr">
        <is>
          <t>ΠΗΓΑΚΗΣ ΝΙΚΟΛΑΟΣ ΜΙΧΑΗΛ (Ι2) (ΤΡΙΤΗ-ΤΕΤΑΡΤΗ)</t>
        </is>
      </c>
      <c r="D34" s="9" t="inlineStr">
        <is>
          <t>ΘΕΟΦΙΛΟΓΙΑΝΝΑΚΟΣ ΒΑΣΙΛΕΙΟΣ</t>
        </is>
      </c>
      <c r="E34" s="9" t="n"/>
      <c r="F34" s="9" t="inlineStr">
        <is>
          <t>ΠΑΠΠΑΣ ΕΛΕΥΘΕΡΙΟΣ</t>
        </is>
      </c>
      <c r="G34" s="9" t="inlineStr">
        <is>
          <t>ΘΩΜΟΠΟΥΛΟΣ ΔΗΜΗΤΡΙΟΣ (ΜΟΝΟ ΚΑΘΗΜΕΡΙΝΕΣ, ΜΠΟΡΕΙ ΚΑΙ Χ2 ΤΗΝ ΒΔΟΜΑΔΑ)</t>
        </is>
      </c>
      <c r="H34" s="9" t="inlineStr">
        <is>
          <t>ΑΚΡΙΒΟΣ ΝΙΚΟΛΑΟΣ</t>
        </is>
      </c>
      <c r="I34" s="9" t="n"/>
      <c r="J34" s="9" t="inlineStr">
        <is>
          <t>ΚΑΡΑΣΑΒΒΑΣ ΠΑΝΤΕΛΕΗΜΩΝ</t>
        </is>
      </c>
      <c r="K34" s="9" t="inlineStr">
        <is>
          <t>ΚΙΝΙΝΗΣ ΔΗΜΗΤΡΙΟΣ</t>
        </is>
      </c>
      <c r="L34" s="9" t="inlineStr">
        <is>
          <t>ΚΑΡΑΙΣΚΑΚΗΣ ΓΕΩΡΓΙΟΣ  1 ΥΠ ΤΟΝ ΜΗΝΑ (ΜΟΝΟ ΚΑΘ)</t>
        </is>
      </c>
      <c r="M34" s="9" t="n"/>
      <c r="N34" s="9" t="n"/>
      <c r="O34" s="9" t="n"/>
    </row>
  </sheetData>
  <conditionalFormatting sqref="A4:B34 M4:O34">
    <cfRule type="expression" priority="3" dxfId="0">
      <formula>OR($A4="Σάββατο",$A4="Κυριακή")</formula>
    </cfRule>
  </conditionalFormatting>
  <conditionalFormatting sqref="C4:L34">
    <cfRule type="expression" priority="1" dxfId="0">
      <formula>OR($A4="Σάββατο",$A4="Κυριακή")</formula>
    </cfRule>
  </conditionalFormatting>
  <pageMargins left="0.75" right="0.75" top="1" bottom="1" header="0.5" footer="0.5"/>
  <pageSetup orientation="portrait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A1:H8"/>
  <sheetViews>
    <sheetView workbookViewId="0">
      <pane ySplit="1" topLeftCell="A2" activePane="bottomLeft" state="frozen"/>
      <selection pane="bottomLeft" activeCell="B2" sqref="B2"/>
    </sheetView>
  </sheetViews>
  <sheetFormatPr baseColWidth="8" defaultRowHeight="14.5"/>
  <cols>
    <col width="16" customWidth="1" min="1" max="1"/>
    <col width="10" customWidth="1" min="2" max="5"/>
    <col width="12" customWidth="1" min="6" max="6"/>
    <col width="14" customWidth="1" min="7" max="7"/>
    <col width="10" customWidth="1" min="8" max="8"/>
  </cols>
  <sheetData>
    <row r="1">
      <c r="A1" s="3" t="inlineStr">
        <is>
          <t>ΗΜΕΡΑ</t>
        </is>
      </c>
      <c r="B1" s="3" t="inlineStr">
        <is>
          <t>ΜΛΣΝ</t>
        </is>
      </c>
      <c r="C1" s="3" t="inlineStr">
        <is>
          <t>ΕΤΑΦ</t>
        </is>
      </c>
      <c r="D1" s="3" t="inlineStr">
        <is>
          <t>ΕΣΤ</t>
        </is>
      </c>
      <c r="E1" s="3" t="inlineStr">
        <is>
          <t>ΒΑΥΔΜ</t>
        </is>
      </c>
      <c r="F1" s="3" t="inlineStr">
        <is>
          <t>ΕΠΙΦ_ΜΛΣΝ</t>
        </is>
      </c>
      <c r="G1" s="3" t="inlineStr">
        <is>
          <t>ΕΠΙΦ_ΒΑΥΔΜ</t>
        </is>
      </c>
      <c r="H1" s="3" t="inlineStr">
        <is>
          <t>ΣΥΝΟΛΟ</t>
        </is>
      </c>
    </row>
    <row r="2">
      <c r="A2" t="inlineStr">
        <is>
          <t>Δευτέρα</t>
        </is>
      </c>
      <c r="B2" s="6" t="n">
        <v>3</v>
      </c>
      <c r="C2" s="6" t="n">
        <v>1</v>
      </c>
      <c r="D2" s="6" t="n">
        <v>2</v>
      </c>
      <c r="E2" s="6" t="n">
        <v>1</v>
      </c>
      <c r="F2" s="6" t="n">
        <v>1</v>
      </c>
      <c r="G2" s="6" t="n">
        <v>1</v>
      </c>
      <c r="H2" s="6">
        <f>SUM(B2:G2)</f>
        <v/>
      </c>
    </row>
    <row r="3">
      <c r="A3" t="inlineStr">
        <is>
          <t>Τρίτη</t>
        </is>
      </c>
      <c r="B3" s="6" t="n">
        <v>2</v>
      </c>
      <c r="C3" s="6" t="n">
        <v>2</v>
      </c>
      <c r="D3" s="6" t="n">
        <v>1</v>
      </c>
      <c r="E3" s="6" t="n">
        <v>1</v>
      </c>
      <c r="F3" s="6" t="n">
        <v>1</v>
      </c>
      <c r="G3" s="6" t="n">
        <v>1</v>
      </c>
      <c r="H3" s="6">
        <f>SUM(B3:G3)</f>
        <v/>
      </c>
    </row>
    <row r="4">
      <c r="A4" t="inlineStr">
        <is>
          <t>Τετάρτη</t>
        </is>
      </c>
      <c r="B4" s="6" t="n">
        <v>3</v>
      </c>
      <c r="C4" s="6" t="n">
        <v>1</v>
      </c>
      <c r="D4" s="6" t="n">
        <v>2</v>
      </c>
      <c r="E4" s="6" t="n">
        <v>1</v>
      </c>
      <c r="F4" s="6" t="n">
        <v>1</v>
      </c>
      <c r="G4" s="6" t="n">
        <v>1</v>
      </c>
      <c r="H4" s="6">
        <f>SUM(B4:G4)</f>
        <v/>
      </c>
    </row>
    <row r="5">
      <c r="A5" t="inlineStr">
        <is>
          <t>Πέμπτη</t>
        </is>
      </c>
      <c r="B5" s="6" t="n">
        <v>2</v>
      </c>
      <c r="C5" s="6" t="n">
        <v>2</v>
      </c>
      <c r="D5" s="6" t="n">
        <v>1</v>
      </c>
      <c r="E5" s="6" t="n">
        <v>1</v>
      </c>
      <c r="F5" s="6" t="n">
        <v>1</v>
      </c>
      <c r="G5" s="6" t="n">
        <v>1</v>
      </c>
      <c r="H5" s="6">
        <f>SUM(B5:G5)</f>
        <v/>
      </c>
    </row>
    <row r="6">
      <c r="A6" t="inlineStr">
        <is>
          <t>Παρασκευή</t>
        </is>
      </c>
      <c r="B6" s="6" t="n">
        <v>3</v>
      </c>
      <c r="C6" s="6" t="n">
        <v>1</v>
      </c>
      <c r="D6" s="6" t="n">
        <v>2</v>
      </c>
      <c r="E6" s="6" t="n">
        <v>1</v>
      </c>
      <c r="F6" s="6" t="n">
        <v>1</v>
      </c>
      <c r="G6" s="6" t="n">
        <v>1</v>
      </c>
      <c r="H6" s="6">
        <f>SUM(B6:G6)</f>
        <v/>
      </c>
    </row>
    <row r="7">
      <c r="A7" t="inlineStr">
        <is>
          <t>Σάββατο</t>
        </is>
      </c>
      <c r="B7" s="6" t="n">
        <v>3</v>
      </c>
      <c r="C7" s="6" t="n">
        <v>1</v>
      </c>
      <c r="D7" s="6" t="n">
        <v>1</v>
      </c>
      <c r="E7" s="6" t="n">
        <v>1</v>
      </c>
      <c r="F7" s="6" t="n">
        <v>1</v>
      </c>
      <c r="G7" s="6" t="n">
        <v>1</v>
      </c>
      <c r="H7" s="6">
        <f>SUM(B7:G7)</f>
        <v/>
      </c>
    </row>
    <row r="8">
      <c r="A8" t="inlineStr">
        <is>
          <t>Κυριακή</t>
        </is>
      </c>
      <c r="B8" s="6" t="n">
        <v>3</v>
      </c>
      <c r="C8" s="6" t="n">
        <v>1</v>
      </c>
      <c r="D8" s="6" t="n">
        <v>1</v>
      </c>
      <c r="E8" s="6" t="n">
        <v>1</v>
      </c>
      <c r="F8" s="6" t="n">
        <v>1</v>
      </c>
      <c r="G8" s="6" t="n">
        <v>1</v>
      </c>
      <c r="H8" s="6">
        <f>SUM(B8:G8)</f>
        <v/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7">
    <outlinePr summaryBelow="1" summaryRight="1"/>
    <pageSetUpPr/>
  </sheetPr>
  <dimension ref="A1:L101"/>
  <sheetViews>
    <sheetView workbookViewId="0">
      <pane ySplit="1" topLeftCell="A2" activePane="bottomLeft" state="frozen"/>
      <selection pane="bottomLeft" activeCell="K2" sqref="K2"/>
    </sheetView>
  </sheetViews>
  <sheetFormatPr baseColWidth="8" defaultRowHeight="14.5"/>
  <cols>
    <col width="24" customWidth="1" min="1" max="1"/>
    <col width="20.54296875" customWidth="1" min="2" max="2"/>
    <col width="12.81640625" customWidth="1" min="3" max="3"/>
    <col width="8" customWidth="1" min="4" max="6"/>
    <col width="10" customWidth="1" min="7" max="7"/>
    <col width="13.26953125" customWidth="1" min="8" max="8"/>
    <col width="14.26953125" customWidth="1" min="9" max="9"/>
    <col width="15.26953125" customWidth="1" min="10" max="10"/>
    <col width="15" customWidth="1" min="11" max="11"/>
    <col width="13" customWidth="1" min="12" max="12"/>
  </cols>
  <sheetData>
    <row r="1">
      <c r="A1" s="11" t="inlineStr">
        <is>
          <t>ΟΝΟΜΑ</t>
        </is>
      </c>
      <c r="B1" s="11" t="inlineStr">
        <is>
          <t>ΣΥΝΟΛΟ_ΥΠΗΡΕΣΙΩΝ</t>
        </is>
      </c>
      <c r="C1" s="11" t="inlineStr">
        <is>
          <t>ΣΥΝΟΛΟ_ΣΚ</t>
        </is>
      </c>
      <c r="D1" s="11" t="inlineStr">
        <is>
          <t>ΜΛΣΝ</t>
        </is>
      </c>
      <c r="E1" s="11" t="inlineStr">
        <is>
          <t>ΕΤΑΦ</t>
        </is>
      </c>
      <c r="F1" s="11" t="inlineStr">
        <is>
          <t>ΕΣΤ</t>
        </is>
      </c>
      <c r="G1" s="11" t="inlineStr">
        <is>
          <t>ΒΑΥΔΜ</t>
        </is>
      </c>
      <c r="H1" s="11" t="inlineStr">
        <is>
          <t>ΕΠΙΦ_ΜΛΣΝ</t>
        </is>
      </c>
      <c r="I1" s="11" t="inlineStr">
        <is>
          <t>ΕΠΙΦ_ΒΑΥΔΜ</t>
        </is>
      </c>
      <c r="J1" s="11" t="inlineStr">
        <is>
          <t>ΣΥΝΟΛΟ_ΕΠΙΦ</t>
        </is>
      </c>
      <c r="K1" s="11" t="inlineStr">
        <is>
          <t>ΕΛΕΓΧΟΣ_MAX</t>
        </is>
      </c>
      <c r="L1" s="11" t="inlineStr">
        <is>
          <t>ΕΛΕΓΧΟΣ_ΣΚ</t>
        </is>
      </c>
    </row>
    <row r="2">
      <c r="A2" t="inlineStr">
        <is>
          <t>Στρατιώτης 001</t>
        </is>
      </c>
      <c r="B2">
        <f>SUM(D2:G2)</f>
        <v/>
      </c>
      <c r="C2">
        <f>COUNTIFS(Schedule!$A$4:$A$33,"Σάββατο",Schedule!$C$4:$C$33,$A2)+COUNTIFS(Schedule!$A$4:$A$33,"Σάββατο",Schedule!$D$4:$D$33,$A2)+COUNTIFS(Schedule!$A$4:$A$33,"Σάββατο",Schedule!$E$4:$E$33,$A2)+COUNTIFS(Schedule!$A$4:$A$33,"Σάββατο",Schedule!$G$4:$G$33,$A2)+COUNTIFS(Schedule!$A$4:$A$33,"Σάββατο",Schedule!$H$4:$H$33,$A2)+COUNTIFS(Schedule!$A$4:$A$33,"Σάββατο",Schedule!$I$4:$I$33,$A2)+COUNTIFS(Schedule!$A$4:$A$33,"Σάββατο",Schedule!$J$4:$J$33,$A2)+COUNTIFS(Schedule!$A$4:$A$33,"Σάββατο",Schedule!$K$4:$K$33,$A2)+COUNTIFS(Schedule!$A$4:$A$33,"Κυριακή",Schedule!$C$4:$C$33,$A2)+COUNTIFS(Schedule!$A$4:$A$33,"Κυριακή",Schedule!$D$4:$D$33,$A2)+COUNTIFS(Schedule!$A$4:$A$33,"Κυριακή",Schedule!$E$4:$E$33,$A2)+COUNTIFS(Schedule!$A$4:$A$33,"Κυριακή",Schedule!$G$4:$G$33,$A2)+COUNTIFS(Schedule!$A$4:$A$33,"Κυριακή",Schedule!$H$4:$H$33,$A2)+COUNTIFS(Schedule!$A$4:$A$33,"Κυριακή",Schedule!$I$4:$I$33,$A2)+COUNTIFS(Schedule!$A$4:$A$33,"Κυριακή",Schedule!$J$4:$J$33,$A2)+COUNTIFS(Schedule!$A$4:$A$33,"Κυριακή",Schedule!$K$4:$K$33,$A2)</f>
        <v/>
      </c>
      <c r="D2">
        <f>COUNTIF(Schedule!$C$4:$C$33,$A2)+COUNTIF(Schedule!$D$4:$D$33,$A2)+COUNTIF(Schedule!$E$4:$E$33,$A2)</f>
        <v/>
      </c>
      <c r="E2">
        <f>COUNTIF(Schedule!$G$4:$G$33,$A2)+COUNTIF(Schedule!$H$4:$H$33,$A2)</f>
        <v/>
      </c>
      <c r="F2">
        <f>COUNTIF(Schedule!$I$4:$I$33,$A2)+COUNTIF(Schedule!$J$4:$J$33,$A2)</f>
        <v/>
      </c>
      <c r="G2">
        <f>COUNTIF(Schedule!$K$4:$K$33,$A2)</f>
        <v/>
      </c>
      <c r="H2">
        <f>COUNTIF(Schedule!$L$4:$L$33,$A2)</f>
        <v/>
      </c>
      <c r="I2">
        <f>COUNTIF(Schedule!$M$4:$M$33,$A2)</f>
        <v/>
      </c>
      <c r="J2">
        <f>SUM(H2:I2)</f>
        <v/>
      </c>
      <c r="K2">
        <f>IF(B2&lt;=INDEX(Personnel!$M:$M,MATCH($A2,Personnel!$A:$A,0)),"OK","ΥΠΕΡΒΑΣΗ")</f>
        <v/>
      </c>
      <c r="L2">
        <f>IF(C2&lt;=INDEX(Personnel!$N:$N,MATCH($A2,Personnel!$A:$A,0)),"OK","ΠΟΛΛΑ ΣΚ")</f>
        <v/>
      </c>
    </row>
    <row r="3">
      <c r="A3" t="inlineStr">
        <is>
          <t>Στρατιώτης 002</t>
        </is>
      </c>
      <c r="B3">
        <f>SUM(D3:G3)</f>
        <v/>
      </c>
      <c r="C3">
        <f>COUNTIFS(Schedule!$A$4:$A$33,"Σάββατο",Schedule!$C$4:$C$33,$A3)+COUNTIFS(Schedule!$A$4:$A$33,"Σάββατο",Schedule!$D$4:$D$33,$A3)+COUNTIFS(Schedule!$A$4:$A$33,"Σάββατο",Schedule!$E$4:$E$33,$A3)+COUNTIFS(Schedule!$A$4:$A$33,"Σάββατο",Schedule!$G$4:$G$33,$A3)+COUNTIFS(Schedule!$A$4:$A$33,"Σάββατο",Schedule!$H$4:$H$33,$A3)+COUNTIFS(Schedule!$A$4:$A$33,"Σάββατο",Schedule!$I$4:$I$33,$A3)+COUNTIFS(Schedule!$A$4:$A$33,"Σάββατο",Schedule!$J$4:$J$33,$A3)+COUNTIFS(Schedule!$A$4:$A$33,"Σάββατο",Schedule!$K$4:$K$33,$A3)+COUNTIFS(Schedule!$A$4:$A$33,"Κυριακή",Schedule!$C$4:$C$33,$A3)+COUNTIFS(Schedule!$A$4:$A$33,"Κυριακή",Schedule!$D$4:$D$33,$A3)+COUNTIFS(Schedule!$A$4:$A$33,"Κυριακή",Schedule!$E$4:$E$33,$A3)+COUNTIFS(Schedule!$A$4:$A$33,"Κυριακή",Schedule!$G$4:$G$33,$A3)+COUNTIFS(Schedule!$A$4:$A$33,"Κυριακή",Schedule!$H$4:$H$33,$A3)+COUNTIFS(Schedule!$A$4:$A$33,"Κυριακή",Schedule!$I$4:$I$33,$A3)+COUNTIFS(Schedule!$A$4:$A$33,"Κυριακή",Schedule!$J$4:$J$33,$A3)+COUNTIFS(Schedule!$A$4:$A$33,"Κυριακή",Schedule!$K$4:$K$33,$A3)</f>
        <v/>
      </c>
      <c r="D3">
        <f>COUNTIF(Schedule!$C$4:$C$33,$A3)+COUNTIF(Schedule!$D$4:$D$33,$A3)+COUNTIF(Schedule!$E$4:$E$33,$A3)</f>
        <v/>
      </c>
      <c r="E3">
        <f>COUNTIF(Schedule!$G$4:$G$33,$A3)+COUNTIF(Schedule!$H$4:$H$33,$A3)</f>
        <v/>
      </c>
      <c r="F3">
        <f>COUNTIF(Schedule!$I$4:$I$33,$A3)+COUNTIF(Schedule!$J$4:$J$33,$A3)</f>
        <v/>
      </c>
      <c r="G3">
        <f>COUNTIF(Schedule!$K$4:$K$33,$A3)</f>
        <v/>
      </c>
      <c r="H3">
        <f>COUNTIF(Schedule!$L$4:$L$33,$A3)</f>
        <v/>
      </c>
      <c r="I3">
        <f>COUNTIF(Schedule!$M$4:$M$33,$A3)</f>
        <v/>
      </c>
      <c r="J3">
        <f>SUM(H3:I3)</f>
        <v/>
      </c>
      <c r="K3">
        <f>IF(B3&lt;=INDEX(Personnel!$M:$M,MATCH($A3,Personnel!$A:$A,0)),"OK","ΥΠΕΡΒΑΣΗ")</f>
        <v/>
      </c>
      <c r="L3">
        <f>IF(C3&lt;=INDEX(Personnel!$N:$N,MATCH($A3,Personnel!$A:$A,0)),"OK","ΠΟΛΛΑ ΣΚ")</f>
        <v/>
      </c>
    </row>
    <row r="4">
      <c r="A4" t="inlineStr">
        <is>
          <t>Στρατιώτης 003</t>
        </is>
      </c>
      <c r="B4">
        <f>SUM(D4:G4)</f>
        <v/>
      </c>
      <c r="C4">
        <f>COUNTIFS(Schedule!$A$4:$A$33,"Σάββατο",Schedule!$C$4:$C$33,$A4)+COUNTIFS(Schedule!$A$4:$A$33,"Σάββατο",Schedule!$D$4:$D$33,$A4)+COUNTIFS(Schedule!$A$4:$A$33,"Σάββατο",Schedule!$E$4:$E$33,$A4)+COUNTIFS(Schedule!$A$4:$A$33,"Σάββατο",Schedule!$G$4:$G$33,$A4)+COUNTIFS(Schedule!$A$4:$A$33,"Σάββατο",Schedule!$H$4:$H$33,$A4)+COUNTIFS(Schedule!$A$4:$A$33,"Σάββατο",Schedule!$I$4:$I$33,$A4)+COUNTIFS(Schedule!$A$4:$A$33,"Σάββατο",Schedule!$J$4:$J$33,$A4)+COUNTIFS(Schedule!$A$4:$A$33,"Σάββατο",Schedule!$K$4:$K$33,$A4)+COUNTIFS(Schedule!$A$4:$A$33,"Κυριακή",Schedule!$C$4:$C$33,$A4)+COUNTIFS(Schedule!$A$4:$A$33,"Κυριακή",Schedule!$D$4:$D$33,$A4)+COUNTIFS(Schedule!$A$4:$A$33,"Κυριακή",Schedule!$E$4:$E$33,$A4)+COUNTIFS(Schedule!$A$4:$A$33,"Κυριακή",Schedule!$G$4:$G$33,$A4)+COUNTIFS(Schedule!$A$4:$A$33,"Κυριακή",Schedule!$H$4:$H$33,$A4)+COUNTIFS(Schedule!$A$4:$A$33,"Κυριακή",Schedule!$I$4:$I$33,$A4)+COUNTIFS(Schedule!$A$4:$A$33,"Κυριακή",Schedule!$J$4:$J$33,$A4)+COUNTIFS(Schedule!$A$4:$A$33,"Κυριακή",Schedule!$K$4:$K$33,$A4)</f>
        <v/>
      </c>
      <c r="D4">
        <f>COUNTIF(Schedule!$C$4:$C$33,$A4)+COUNTIF(Schedule!$D$4:$D$33,$A4)+COUNTIF(Schedule!$E$4:$E$33,$A4)</f>
        <v/>
      </c>
      <c r="E4">
        <f>COUNTIF(Schedule!$G$4:$G$33,$A4)+COUNTIF(Schedule!$H$4:$H$33,$A4)</f>
        <v/>
      </c>
      <c r="F4">
        <f>COUNTIF(Schedule!$I$4:$I$33,$A4)+COUNTIF(Schedule!$J$4:$J$33,$A4)</f>
        <v/>
      </c>
      <c r="G4">
        <f>COUNTIF(Schedule!$K$4:$K$33,$A4)</f>
        <v/>
      </c>
      <c r="H4">
        <f>COUNTIF(Schedule!$L$4:$L$33,$A4)</f>
        <v/>
      </c>
      <c r="I4">
        <f>COUNTIF(Schedule!$M$4:$M$33,$A4)</f>
        <v/>
      </c>
      <c r="J4">
        <f>SUM(H4:I4)</f>
        <v/>
      </c>
      <c r="K4">
        <f>IF(B4&lt;=INDEX(Personnel!$M:$M,MATCH($A4,Personnel!$A:$A,0)),"OK","ΥΠΕΡΒΑΣΗ")</f>
        <v/>
      </c>
      <c r="L4">
        <f>IF(C4&lt;=INDEX(Personnel!$N:$N,MATCH($A4,Personnel!$A:$A,0)),"OK","ΠΟΛΛΑ ΣΚ")</f>
        <v/>
      </c>
    </row>
    <row r="5">
      <c r="A5" t="inlineStr">
        <is>
          <t>Στρατιώτης 004</t>
        </is>
      </c>
      <c r="B5">
        <f>SUM(D5:G5)</f>
        <v/>
      </c>
      <c r="C5">
        <f>COUNTIFS(Schedule!$A$4:$A$33,"Σάββατο",Schedule!$C$4:$C$33,$A5)+COUNTIFS(Schedule!$A$4:$A$33,"Σάββατο",Schedule!$D$4:$D$33,$A5)+COUNTIFS(Schedule!$A$4:$A$33,"Σάββατο",Schedule!$E$4:$E$33,$A5)+COUNTIFS(Schedule!$A$4:$A$33,"Σάββατο",Schedule!$G$4:$G$33,$A5)+COUNTIFS(Schedule!$A$4:$A$33,"Σάββατο",Schedule!$H$4:$H$33,$A5)+COUNTIFS(Schedule!$A$4:$A$33,"Σάββατο",Schedule!$I$4:$I$33,$A5)+COUNTIFS(Schedule!$A$4:$A$33,"Σάββατο",Schedule!$J$4:$J$33,$A5)+COUNTIFS(Schedule!$A$4:$A$33,"Σάββατο",Schedule!$K$4:$K$33,$A5)+COUNTIFS(Schedule!$A$4:$A$33,"Κυριακή",Schedule!$C$4:$C$33,$A5)+COUNTIFS(Schedule!$A$4:$A$33,"Κυριακή",Schedule!$D$4:$D$33,$A5)+COUNTIFS(Schedule!$A$4:$A$33,"Κυριακή",Schedule!$E$4:$E$33,$A5)+COUNTIFS(Schedule!$A$4:$A$33,"Κυριακή",Schedule!$G$4:$G$33,$A5)+COUNTIFS(Schedule!$A$4:$A$33,"Κυριακή",Schedule!$H$4:$H$33,$A5)+COUNTIFS(Schedule!$A$4:$A$33,"Κυριακή",Schedule!$I$4:$I$33,$A5)+COUNTIFS(Schedule!$A$4:$A$33,"Κυριακή",Schedule!$J$4:$J$33,$A5)+COUNTIFS(Schedule!$A$4:$A$33,"Κυριακή",Schedule!$K$4:$K$33,$A5)</f>
        <v/>
      </c>
      <c r="D5">
        <f>COUNTIF(Schedule!$C$4:$C$33,$A5)+COUNTIF(Schedule!$D$4:$D$33,$A5)+COUNTIF(Schedule!$E$4:$E$33,$A5)</f>
        <v/>
      </c>
      <c r="E5">
        <f>COUNTIF(Schedule!$G$4:$G$33,$A5)+COUNTIF(Schedule!$H$4:$H$33,$A5)</f>
        <v/>
      </c>
      <c r="F5">
        <f>COUNTIF(Schedule!$I$4:$I$33,$A5)+COUNTIF(Schedule!$J$4:$J$33,$A5)</f>
        <v/>
      </c>
      <c r="G5">
        <f>COUNTIF(Schedule!$K$4:$K$33,$A5)</f>
        <v/>
      </c>
      <c r="H5">
        <f>COUNTIF(Schedule!$L$4:$L$33,$A5)</f>
        <v/>
      </c>
      <c r="I5">
        <f>COUNTIF(Schedule!$M$4:$M$33,$A5)</f>
        <v/>
      </c>
      <c r="J5">
        <f>SUM(H5:I5)</f>
        <v/>
      </c>
      <c r="K5">
        <f>IF(B5&lt;=INDEX(Personnel!$M:$M,MATCH($A5,Personnel!$A:$A,0)),"OK","ΥΠΕΡΒΑΣΗ")</f>
        <v/>
      </c>
      <c r="L5">
        <f>IF(C5&lt;=INDEX(Personnel!$N:$N,MATCH($A5,Personnel!$A:$A,0)),"OK","ΠΟΛΛΑ ΣΚ")</f>
        <v/>
      </c>
    </row>
    <row r="6">
      <c r="A6" t="inlineStr">
        <is>
          <t>Στρατιώτης 005</t>
        </is>
      </c>
      <c r="B6">
        <f>SUM(D6:G6)</f>
        <v/>
      </c>
      <c r="C6">
        <f>COUNTIFS(Schedule!$A$4:$A$33,"Σάββατο",Schedule!$C$4:$C$33,$A6)+COUNTIFS(Schedule!$A$4:$A$33,"Σάββατο",Schedule!$D$4:$D$33,$A6)+COUNTIFS(Schedule!$A$4:$A$33,"Σάββατο",Schedule!$E$4:$E$33,$A6)+COUNTIFS(Schedule!$A$4:$A$33,"Σάββατο",Schedule!$G$4:$G$33,$A6)+COUNTIFS(Schedule!$A$4:$A$33,"Σάββατο",Schedule!$H$4:$H$33,$A6)+COUNTIFS(Schedule!$A$4:$A$33,"Σάββατο",Schedule!$I$4:$I$33,$A6)+COUNTIFS(Schedule!$A$4:$A$33,"Σάββατο",Schedule!$J$4:$J$33,$A6)+COUNTIFS(Schedule!$A$4:$A$33,"Σάββατο",Schedule!$K$4:$K$33,$A6)+COUNTIFS(Schedule!$A$4:$A$33,"Κυριακή",Schedule!$C$4:$C$33,$A6)+COUNTIFS(Schedule!$A$4:$A$33,"Κυριακή",Schedule!$D$4:$D$33,$A6)+COUNTIFS(Schedule!$A$4:$A$33,"Κυριακή",Schedule!$E$4:$E$33,$A6)+COUNTIFS(Schedule!$A$4:$A$33,"Κυριακή",Schedule!$G$4:$G$33,$A6)+COUNTIFS(Schedule!$A$4:$A$33,"Κυριακή",Schedule!$H$4:$H$33,$A6)+COUNTIFS(Schedule!$A$4:$A$33,"Κυριακή",Schedule!$I$4:$I$33,$A6)+COUNTIFS(Schedule!$A$4:$A$33,"Κυριακή",Schedule!$J$4:$J$33,$A6)+COUNTIFS(Schedule!$A$4:$A$33,"Κυριακή",Schedule!$K$4:$K$33,$A6)</f>
        <v/>
      </c>
      <c r="D6">
        <f>COUNTIF(Schedule!$C$4:$C$33,$A6)+COUNTIF(Schedule!$D$4:$D$33,$A6)+COUNTIF(Schedule!$E$4:$E$33,$A6)</f>
        <v/>
      </c>
      <c r="E6">
        <f>COUNTIF(Schedule!$G$4:$G$33,$A6)+COUNTIF(Schedule!$H$4:$H$33,$A6)</f>
        <v/>
      </c>
      <c r="F6">
        <f>COUNTIF(Schedule!$I$4:$I$33,$A6)+COUNTIF(Schedule!$J$4:$J$33,$A6)</f>
        <v/>
      </c>
      <c r="G6">
        <f>COUNTIF(Schedule!$K$4:$K$33,$A6)</f>
        <v/>
      </c>
      <c r="H6">
        <f>COUNTIF(Schedule!$L$4:$L$33,$A6)</f>
        <v/>
      </c>
      <c r="I6">
        <f>COUNTIF(Schedule!$M$4:$M$33,$A6)</f>
        <v/>
      </c>
      <c r="J6">
        <f>SUM(H6:I6)</f>
        <v/>
      </c>
      <c r="K6">
        <f>IF(B6&lt;=INDEX(Personnel!$M:$M,MATCH($A6,Personnel!$A:$A,0)),"OK","ΥΠΕΡΒΑΣΗ")</f>
        <v/>
      </c>
      <c r="L6">
        <f>IF(C6&lt;=INDEX(Personnel!$N:$N,MATCH($A6,Personnel!$A:$A,0)),"OK","ΠΟΛΛΑ ΣΚ")</f>
        <v/>
      </c>
    </row>
    <row r="7">
      <c r="A7" t="inlineStr">
        <is>
          <t>Στρατιώτης 006</t>
        </is>
      </c>
      <c r="B7">
        <f>SUM(D7:G7)</f>
        <v/>
      </c>
      <c r="C7">
        <f>COUNTIFS(Schedule!$A$4:$A$33,"Σάββατο",Schedule!$C$4:$C$33,$A7)+COUNTIFS(Schedule!$A$4:$A$33,"Σάββατο",Schedule!$D$4:$D$33,$A7)+COUNTIFS(Schedule!$A$4:$A$33,"Σάββατο",Schedule!$E$4:$E$33,$A7)+COUNTIFS(Schedule!$A$4:$A$33,"Σάββατο",Schedule!$G$4:$G$33,$A7)+COUNTIFS(Schedule!$A$4:$A$33,"Σάββατο",Schedule!$H$4:$H$33,$A7)+COUNTIFS(Schedule!$A$4:$A$33,"Σάββατο",Schedule!$I$4:$I$33,$A7)+COUNTIFS(Schedule!$A$4:$A$33,"Σάββατο",Schedule!$J$4:$J$33,$A7)+COUNTIFS(Schedule!$A$4:$A$33,"Σάββατο",Schedule!$K$4:$K$33,$A7)+COUNTIFS(Schedule!$A$4:$A$33,"Κυριακή",Schedule!$C$4:$C$33,$A7)+COUNTIFS(Schedule!$A$4:$A$33,"Κυριακή",Schedule!$D$4:$D$33,$A7)+COUNTIFS(Schedule!$A$4:$A$33,"Κυριακή",Schedule!$E$4:$E$33,$A7)+COUNTIFS(Schedule!$A$4:$A$33,"Κυριακή",Schedule!$G$4:$G$33,$A7)+COUNTIFS(Schedule!$A$4:$A$33,"Κυριακή",Schedule!$H$4:$H$33,$A7)+COUNTIFS(Schedule!$A$4:$A$33,"Κυριακή",Schedule!$I$4:$I$33,$A7)+COUNTIFS(Schedule!$A$4:$A$33,"Κυριακή",Schedule!$J$4:$J$33,$A7)+COUNTIFS(Schedule!$A$4:$A$33,"Κυριακή",Schedule!$K$4:$K$33,$A7)</f>
        <v/>
      </c>
      <c r="D7">
        <f>COUNTIF(Schedule!$C$4:$C$33,$A7)+COUNTIF(Schedule!$D$4:$D$33,$A7)+COUNTIF(Schedule!$E$4:$E$33,$A7)</f>
        <v/>
      </c>
      <c r="E7">
        <f>COUNTIF(Schedule!$G$4:$G$33,$A7)+COUNTIF(Schedule!$H$4:$H$33,$A7)</f>
        <v/>
      </c>
      <c r="F7">
        <f>COUNTIF(Schedule!$I$4:$I$33,$A7)+COUNTIF(Schedule!$J$4:$J$33,$A7)</f>
        <v/>
      </c>
      <c r="G7">
        <f>COUNTIF(Schedule!$K$4:$K$33,$A7)</f>
        <v/>
      </c>
      <c r="H7">
        <f>COUNTIF(Schedule!$L$4:$L$33,$A7)</f>
        <v/>
      </c>
      <c r="I7">
        <f>COUNTIF(Schedule!$M$4:$M$33,$A7)</f>
        <v/>
      </c>
      <c r="J7">
        <f>SUM(H7:I7)</f>
        <v/>
      </c>
      <c r="K7">
        <f>IF(B7&lt;=INDEX(Personnel!$M:$M,MATCH($A7,Personnel!$A:$A,0)),"OK","ΥΠΕΡΒΑΣΗ")</f>
        <v/>
      </c>
      <c r="L7">
        <f>IF(C7&lt;=INDEX(Personnel!$N:$N,MATCH($A7,Personnel!$A:$A,0)),"OK","ΠΟΛΛΑ ΣΚ")</f>
        <v/>
      </c>
    </row>
    <row r="8">
      <c r="A8" t="inlineStr">
        <is>
          <t>Στρατιώτης 007</t>
        </is>
      </c>
      <c r="B8">
        <f>SUM(D8:G8)</f>
        <v/>
      </c>
      <c r="C8">
        <f>COUNTIFS(Schedule!$A$4:$A$33,"Σάββατο",Schedule!$C$4:$C$33,$A8)+COUNTIFS(Schedule!$A$4:$A$33,"Σάββατο",Schedule!$D$4:$D$33,$A8)+COUNTIFS(Schedule!$A$4:$A$33,"Σάββατο",Schedule!$E$4:$E$33,$A8)+COUNTIFS(Schedule!$A$4:$A$33,"Σάββατο",Schedule!$G$4:$G$33,$A8)+COUNTIFS(Schedule!$A$4:$A$33,"Σάββατο",Schedule!$H$4:$H$33,$A8)+COUNTIFS(Schedule!$A$4:$A$33,"Σάββατο",Schedule!$I$4:$I$33,$A8)+COUNTIFS(Schedule!$A$4:$A$33,"Σάββατο",Schedule!$J$4:$J$33,$A8)+COUNTIFS(Schedule!$A$4:$A$33,"Σάββατο",Schedule!$K$4:$K$33,$A8)+COUNTIFS(Schedule!$A$4:$A$33,"Κυριακή",Schedule!$C$4:$C$33,$A8)+COUNTIFS(Schedule!$A$4:$A$33,"Κυριακή",Schedule!$D$4:$D$33,$A8)+COUNTIFS(Schedule!$A$4:$A$33,"Κυριακή",Schedule!$E$4:$E$33,$A8)+COUNTIFS(Schedule!$A$4:$A$33,"Κυριακή",Schedule!$G$4:$G$33,$A8)+COUNTIFS(Schedule!$A$4:$A$33,"Κυριακή",Schedule!$H$4:$H$33,$A8)+COUNTIFS(Schedule!$A$4:$A$33,"Κυριακή",Schedule!$I$4:$I$33,$A8)+COUNTIFS(Schedule!$A$4:$A$33,"Κυριακή",Schedule!$J$4:$J$33,$A8)+COUNTIFS(Schedule!$A$4:$A$33,"Κυριακή",Schedule!$K$4:$K$33,$A8)</f>
        <v/>
      </c>
      <c r="D8">
        <f>COUNTIF(Schedule!$C$4:$C$33,$A8)+COUNTIF(Schedule!$D$4:$D$33,$A8)+COUNTIF(Schedule!$E$4:$E$33,$A8)</f>
        <v/>
      </c>
      <c r="E8">
        <f>COUNTIF(Schedule!$G$4:$G$33,$A8)+COUNTIF(Schedule!$H$4:$H$33,$A8)</f>
        <v/>
      </c>
      <c r="F8">
        <f>COUNTIF(Schedule!$I$4:$I$33,$A8)+COUNTIF(Schedule!$J$4:$J$33,$A8)</f>
        <v/>
      </c>
      <c r="G8">
        <f>COUNTIF(Schedule!$K$4:$K$33,$A8)</f>
        <v/>
      </c>
      <c r="H8">
        <f>COUNTIF(Schedule!$L$4:$L$33,$A8)</f>
        <v/>
      </c>
      <c r="I8">
        <f>COUNTIF(Schedule!$M$4:$M$33,$A8)</f>
        <v/>
      </c>
      <c r="J8">
        <f>SUM(H8:I8)</f>
        <v/>
      </c>
      <c r="K8">
        <f>IF(B8&lt;=INDEX(Personnel!$M:$M,MATCH($A8,Personnel!$A:$A,0)),"OK","ΥΠΕΡΒΑΣΗ")</f>
        <v/>
      </c>
      <c r="L8">
        <f>IF(C8&lt;=INDEX(Personnel!$N:$N,MATCH($A8,Personnel!$A:$A,0)),"OK","ΠΟΛΛΑ ΣΚ")</f>
        <v/>
      </c>
    </row>
    <row r="9">
      <c r="A9" t="inlineStr">
        <is>
          <t>Στρατιώτης 008</t>
        </is>
      </c>
      <c r="B9">
        <f>SUM(D9:G9)</f>
        <v/>
      </c>
      <c r="C9">
        <f>COUNTIFS(Schedule!$A$4:$A$33,"Σάββατο",Schedule!$C$4:$C$33,$A9)+COUNTIFS(Schedule!$A$4:$A$33,"Σάββατο",Schedule!$D$4:$D$33,$A9)+COUNTIFS(Schedule!$A$4:$A$33,"Σάββατο",Schedule!$E$4:$E$33,$A9)+COUNTIFS(Schedule!$A$4:$A$33,"Σάββατο",Schedule!$G$4:$G$33,$A9)+COUNTIFS(Schedule!$A$4:$A$33,"Σάββατο",Schedule!$H$4:$H$33,$A9)+COUNTIFS(Schedule!$A$4:$A$33,"Σάββατο",Schedule!$I$4:$I$33,$A9)+COUNTIFS(Schedule!$A$4:$A$33,"Σάββατο",Schedule!$J$4:$J$33,$A9)+COUNTIFS(Schedule!$A$4:$A$33,"Σάββατο",Schedule!$K$4:$K$33,$A9)+COUNTIFS(Schedule!$A$4:$A$33,"Κυριακή",Schedule!$C$4:$C$33,$A9)+COUNTIFS(Schedule!$A$4:$A$33,"Κυριακή",Schedule!$D$4:$D$33,$A9)+COUNTIFS(Schedule!$A$4:$A$33,"Κυριακή",Schedule!$E$4:$E$33,$A9)+COUNTIFS(Schedule!$A$4:$A$33,"Κυριακή",Schedule!$G$4:$G$33,$A9)+COUNTIFS(Schedule!$A$4:$A$33,"Κυριακή",Schedule!$H$4:$H$33,$A9)+COUNTIFS(Schedule!$A$4:$A$33,"Κυριακή",Schedule!$I$4:$I$33,$A9)+COUNTIFS(Schedule!$A$4:$A$33,"Κυριακή",Schedule!$J$4:$J$33,$A9)+COUNTIFS(Schedule!$A$4:$A$33,"Κυριακή",Schedule!$K$4:$K$33,$A9)</f>
        <v/>
      </c>
      <c r="D9">
        <f>COUNTIF(Schedule!$C$4:$C$33,$A9)+COUNTIF(Schedule!$D$4:$D$33,$A9)+COUNTIF(Schedule!$E$4:$E$33,$A9)</f>
        <v/>
      </c>
      <c r="E9">
        <f>COUNTIF(Schedule!$G$4:$G$33,$A9)+COUNTIF(Schedule!$H$4:$H$33,$A9)</f>
        <v/>
      </c>
      <c r="F9">
        <f>COUNTIF(Schedule!$I$4:$I$33,$A9)+COUNTIF(Schedule!$J$4:$J$33,$A9)</f>
        <v/>
      </c>
      <c r="G9">
        <f>COUNTIF(Schedule!$K$4:$K$33,$A9)</f>
        <v/>
      </c>
      <c r="H9">
        <f>COUNTIF(Schedule!$L$4:$L$33,$A9)</f>
        <v/>
      </c>
      <c r="I9">
        <f>COUNTIF(Schedule!$M$4:$M$33,$A9)</f>
        <v/>
      </c>
      <c r="J9">
        <f>SUM(H9:I9)</f>
        <v/>
      </c>
      <c r="K9">
        <f>IF(B9&lt;=INDEX(Personnel!$M:$M,MATCH($A9,Personnel!$A:$A,0)),"OK","ΥΠΕΡΒΑΣΗ")</f>
        <v/>
      </c>
      <c r="L9">
        <f>IF(C9&lt;=INDEX(Personnel!$N:$N,MATCH($A9,Personnel!$A:$A,0)),"OK","ΠΟΛΛΑ ΣΚ")</f>
        <v/>
      </c>
    </row>
    <row r="10">
      <c r="A10" t="inlineStr">
        <is>
          <t>Στρατιώτης 009</t>
        </is>
      </c>
      <c r="B10">
        <f>SUM(D10:G10)</f>
        <v/>
      </c>
      <c r="C10">
        <f>COUNTIFS(Schedule!$A$4:$A$33,"Σάββατο",Schedule!$C$4:$C$33,$A10)+COUNTIFS(Schedule!$A$4:$A$33,"Σάββατο",Schedule!$D$4:$D$33,$A10)+COUNTIFS(Schedule!$A$4:$A$33,"Σάββατο",Schedule!$E$4:$E$33,$A10)+COUNTIFS(Schedule!$A$4:$A$33,"Σάββατο",Schedule!$G$4:$G$33,$A10)+COUNTIFS(Schedule!$A$4:$A$33,"Σάββατο",Schedule!$H$4:$H$33,$A10)+COUNTIFS(Schedule!$A$4:$A$33,"Σάββατο",Schedule!$I$4:$I$33,$A10)+COUNTIFS(Schedule!$A$4:$A$33,"Σάββατο",Schedule!$J$4:$J$33,$A10)+COUNTIFS(Schedule!$A$4:$A$33,"Σάββατο",Schedule!$K$4:$K$33,$A10)+COUNTIFS(Schedule!$A$4:$A$33,"Κυριακή",Schedule!$C$4:$C$33,$A10)+COUNTIFS(Schedule!$A$4:$A$33,"Κυριακή",Schedule!$D$4:$D$33,$A10)+COUNTIFS(Schedule!$A$4:$A$33,"Κυριακή",Schedule!$E$4:$E$33,$A10)+COUNTIFS(Schedule!$A$4:$A$33,"Κυριακή",Schedule!$G$4:$G$33,$A10)+COUNTIFS(Schedule!$A$4:$A$33,"Κυριακή",Schedule!$H$4:$H$33,$A10)+COUNTIFS(Schedule!$A$4:$A$33,"Κυριακή",Schedule!$I$4:$I$33,$A10)+COUNTIFS(Schedule!$A$4:$A$33,"Κυριακή",Schedule!$J$4:$J$33,$A10)+COUNTIFS(Schedule!$A$4:$A$33,"Κυριακή",Schedule!$K$4:$K$33,$A10)</f>
        <v/>
      </c>
      <c r="D10">
        <f>COUNTIF(Schedule!$C$4:$C$33,$A10)+COUNTIF(Schedule!$D$4:$D$33,$A10)+COUNTIF(Schedule!$E$4:$E$33,$A10)</f>
        <v/>
      </c>
      <c r="E10">
        <f>COUNTIF(Schedule!$G$4:$G$33,$A10)+COUNTIF(Schedule!$H$4:$H$33,$A10)</f>
        <v/>
      </c>
      <c r="F10">
        <f>COUNTIF(Schedule!$I$4:$I$33,$A10)+COUNTIF(Schedule!$J$4:$J$33,$A10)</f>
        <v/>
      </c>
      <c r="G10">
        <f>COUNTIF(Schedule!$K$4:$K$33,$A10)</f>
        <v/>
      </c>
      <c r="H10">
        <f>COUNTIF(Schedule!$L$4:$L$33,$A10)</f>
        <v/>
      </c>
      <c r="I10">
        <f>COUNTIF(Schedule!$M$4:$M$33,$A10)</f>
        <v/>
      </c>
      <c r="J10">
        <f>SUM(H10:I10)</f>
        <v/>
      </c>
      <c r="K10">
        <f>IF(B10&lt;=INDEX(Personnel!$M:$M,MATCH($A10,Personnel!$A:$A,0)),"OK","ΥΠΕΡΒΑΣΗ")</f>
        <v/>
      </c>
      <c r="L10">
        <f>IF(C10&lt;=INDEX(Personnel!$N:$N,MATCH($A10,Personnel!$A:$A,0)),"OK","ΠΟΛΛΑ ΣΚ")</f>
        <v/>
      </c>
    </row>
    <row r="11">
      <c r="A11" t="inlineStr">
        <is>
          <t>Στρατιώτης 010</t>
        </is>
      </c>
      <c r="B11">
        <f>SUM(D11:G11)</f>
        <v/>
      </c>
      <c r="C11">
        <f>COUNTIFS(Schedule!$A$4:$A$33,"Σάββατο",Schedule!$C$4:$C$33,$A11)+COUNTIFS(Schedule!$A$4:$A$33,"Σάββατο",Schedule!$D$4:$D$33,$A11)+COUNTIFS(Schedule!$A$4:$A$33,"Σάββατο",Schedule!$E$4:$E$33,$A11)+COUNTIFS(Schedule!$A$4:$A$33,"Σάββατο",Schedule!$G$4:$G$33,$A11)+COUNTIFS(Schedule!$A$4:$A$33,"Σάββατο",Schedule!$H$4:$H$33,$A11)+COUNTIFS(Schedule!$A$4:$A$33,"Σάββατο",Schedule!$I$4:$I$33,$A11)+COUNTIFS(Schedule!$A$4:$A$33,"Σάββατο",Schedule!$J$4:$J$33,$A11)+COUNTIFS(Schedule!$A$4:$A$33,"Σάββατο",Schedule!$K$4:$K$33,$A11)+COUNTIFS(Schedule!$A$4:$A$33,"Κυριακή",Schedule!$C$4:$C$33,$A11)+COUNTIFS(Schedule!$A$4:$A$33,"Κυριακή",Schedule!$D$4:$D$33,$A11)+COUNTIFS(Schedule!$A$4:$A$33,"Κυριακή",Schedule!$E$4:$E$33,$A11)+COUNTIFS(Schedule!$A$4:$A$33,"Κυριακή",Schedule!$G$4:$G$33,$A11)+COUNTIFS(Schedule!$A$4:$A$33,"Κυριακή",Schedule!$H$4:$H$33,$A11)+COUNTIFS(Schedule!$A$4:$A$33,"Κυριακή",Schedule!$I$4:$I$33,$A11)+COUNTIFS(Schedule!$A$4:$A$33,"Κυριακή",Schedule!$J$4:$J$33,$A11)+COUNTIFS(Schedule!$A$4:$A$33,"Κυριακή",Schedule!$K$4:$K$33,$A11)</f>
        <v/>
      </c>
      <c r="D11">
        <f>COUNTIF(Schedule!$C$4:$C$33,$A11)+COUNTIF(Schedule!$D$4:$D$33,$A11)+COUNTIF(Schedule!$E$4:$E$33,$A11)</f>
        <v/>
      </c>
      <c r="E11">
        <f>COUNTIF(Schedule!$G$4:$G$33,$A11)+COUNTIF(Schedule!$H$4:$H$33,$A11)</f>
        <v/>
      </c>
      <c r="F11">
        <f>COUNTIF(Schedule!$I$4:$I$33,$A11)+COUNTIF(Schedule!$J$4:$J$33,$A11)</f>
        <v/>
      </c>
      <c r="G11">
        <f>COUNTIF(Schedule!$K$4:$K$33,$A11)</f>
        <v/>
      </c>
      <c r="H11">
        <f>COUNTIF(Schedule!$L$4:$L$33,$A11)</f>
        <v/>
      </c>
      <c r="I11">
        <f>COUNTIF(Schedule!$M$4:$M$33,$A11)</f>
        <v/>
      </c>
      <c r="J11">
        <f>SUM(H11:I11)</f>
        <v/>
      </c>
      <c r="K11">
        <f>IF(B11&lt;=INDEX(Personnel!$M:$M,MATCH($A11,Personnel!$A:$A,0)),"OK","ΥΠΕΡΒΑΣΗ")</f>
        <v/>
      </c>
      <c r="L11">
        <f>IF(C11&lt;=INDEX(Personnel!$N:$N,MATCH($A11,Personnel!$A:$A,0)),"OK","ΠΟΛΛΑ ΣΚ")</f>
        <v/>
      </c>
    </row>
    <row r="12">
      <c r="A12" t="inlineStr">
        <is>
          <t>Στρατιώτης 011</t>
        </is>
      </c>
      <c r="B12">
        <f>SUM(D12:G12)</f>
        <v/>
      </c>
      <c r="C12">
        <f>COUNTIFS(Schedule!$A$4:$A$33,"Σάββατο",Schedule!$C$4:$C$33,$A12)+COUNTIFS(Schedule!$A$4:$A$33,"Σάββατο",Schedule!$D$4:$D$33,$A12)+COUNTIFS(Schedule!$A$4:$A$33,"Σάββατο",Schedule!$E$4:$E$33,$A12)+COUNTIFS(Schedule!$A$4:$A$33,"Σάββατο",Schedule!$G$4:$G$33,$A12)+COUNTIFS(Schedule!$A$4:$A$33,"Σάββατο",Schedule!$H$4:$H$33,$A12)+COUNTIFS(Schedule!$A$4:$A$33,"Σάββατο",Schedule!$I$4:$I$33,$A12)+COUNTIFS(Schedule!$A$4:$A$33,"Σάββατο",Schedule!$J$4:$J$33,$A12)+COUNTIFS(Schedule!$A$4:$A$33,"Σάββατο",Schedule!$K$4:$K$33,$A12)+COUNTIFS(Schedule!$A$4:$A$33,"Κυριακή",Schedule!$C$4:$C$33,$A12)+COUNTIFS(Schedule!$A$4:$A$33,"Κυριακή",Schedule!$D$4:$D$33,$A12)+COUNTIFS(Schedule!$A$4:$A$33,"Κυριακή",Schedule!$E$4:$E$33,$A12)+COUNTIFS(Schedule!$A$4:$A$33,"Κυριακή",Schedule!$G$4:$G$33,$A12)+COUNTIFS(Schedule!$A$4:$A$33,"Κυριακή",Schedule!$H$4:$H$33,$A12)+COUNTIFS(Schedule!$A$4:$A$33,"Κυριακή",Schedule!$I$4:$I$33,$A12)+COUNTIFS(Schedule!$A$4:$A$33,"Κυριακή",Schedule!$J$4:$J$33,$A12)+COUNTIFS(Schedule!$A$4:$A$33,"Κυριακή",Schedule!$K$4:$K$33,$A12)</f>
        <v/>
      </c>
      <c r="D12">
        <f>COUNTIF(Schedule!$C$4:$C$33,$A12)+COUNTIF(Schedule!$D$4:$D$33,$A12)+COUNTIF(Schedule!$E$4:$E$33,$A12)</f>
        <v/>
      </c>
      <c r="E12">
        <f>COUNTIF(Schedule!$G$4:$G$33,$A12)+COUNTIF(Schedule!$H$4:$H$33,$A12)</f>
        <v/>
      </c>
      <c r="F12">
        <f>COUNTIF(Schedule!$I$4:$I$33,$A12)+COUNTIF(Schedule!$J$4:$J$33,$A12)</f>
        <v/>
      </c>
      <c r="G12">
        <f>COUNTIF(Schedule!$K$4:$K$33,$A12)</f>
        <v/>
      </c>
      <c r="H12">
        <f>COUNTIF(Schedule!$L$4:$L$33,$A12)</f>
        <v/>
      </c>
      <c r="I12">
        <f>COUNTIF(Schedule!$M$4:$M$33,$A12)</f>
        <v/>
      </c>
      <c r="J12">
        <f>SUM(H12:I12)</f>
        <v/>
      </c>
      <c r="K12">
        <f>IF(B12&lt;=INDEX(Personnel!$M:$M,MATCH($A12,Personnel!$A:$A,0)),"OK","ΥΠΕΡΒΑΣΗ")</f>
        <v/>
      </c>
      <c r="L12">
        <f>IF(C12&lt;=INDEX(Personnel!$N:$N,MATCH($A12,Personnel!$A:$A,0)),"OK","ΠΟΛΛΑ ΣΚ")</f>
        <v/>
      </c>
    </row>
    <row r="13">
      <c r="A13" t="inlineStr">
        <is>
          <t>Στρατιώτης 012</t>
        </is>
      </c>
      <c r="B13">
        <f>SUM(D13:G13)</f>
        <v/>
      </c>
      <c r="C13">
        <f>COUNTIFS(Schedule!$A$4:$A$33,"Σάββατο",Schedule!$C$4:$C$33,$A13)+COUNTIFS(Schedule!$A$4:$A$33,"Σάββατο",Schedule!$D$4:$D$33,$A13)+COUNTIFS(Schedule!$A$4:$A$33,"Σάββατο",Schedule!$E$4:$E$33,$A13)+COUNTIFS(Schedule!$A$4:$A$33,"Σάββατο",Schedule!$G$4:$G$33,$A13)+COUNTIFS(Schedule!$A$4:$A$33,"Σάββατο",Schedule!$H$4:$H$33,$A13)+COUNTIFS(Schedule!$A$4:$A$33,"Σάββατο",Schedule!$I$4:$I$33,$A13)+COUNTIFS(Schedule!$A$4:$A$33,"Σάββατο",Schedule!$J$4:$J$33,$A13)+COUNTIFS(Schedule!$A$4:$A$33,"Σάββατο",Schedule!$K$4:$K$33,$A13)+COUNTIFS(Schedule!$A$4:$A$33,"Κυριακή",Schedule!$C$4:$C$33,$A13)+COUNTIFS(Schedule!$A$4:$A$33,"Κυριακή",Schedule!$D$4:$D$33,$A13)+COUNTIFS(Schedule!$A$4:$A$33,"Κυριακή",Schedule!$E$4:$E$33,$A13)+COUNTIFS(Schedule!$A$4:$A$33,"Κυριακή",Schedule!$G$4:$G$33,$A13)+COUNTIFS(Schedule!$A$4:$A$33,"Κυριακή",Schedule!$H$4:$H$33,$A13)+COUNTIFS(Schedule!$A$4:$A$33,"Κυριακή",Schedule!$I$4:$I$33,$A13)+COUNTIFS(Schedule!$A$4:$A$33,"Κυριακή",Schedule!$J$4:$J$33,$A13)+COUNTIFS(Schedule!$A$4:$A$33,"Κυριακή",Schedule!$K$4:$K$33,$A13)</f>
        <v/>
      </c>
      <c r="D13">
        <f>COUNTIF(Schedule!$C$4:$C$33,$A13)+COUNTIF(Schedule!$D$4:$D$33,$A13)+COUNTIF(Schedule!$E$4:$E$33,$A13)</f>
        <v/>
      </c>
      <c r="E13">
        <f>COUNTIF(Schedule!$G$4:$G$33,$A13)+COUNTIF(Schedule!$H$4:$H$33,$A13)</f>
        <v/>
      </c>
      <c r="F13">
        <f>COUNTIF(Schedule!$I$4:$I$33,$A13)+COUNTIF(Schedule!$J$4:$J$33,$A13)</f>
        <v/>
      </c>
      <c r="G13">
        <f>COUNTIF(Schedule!$K$4:$K$33,$A13)</f>
        <v/>
      </c>
      <c r="H13">
        <f>COUNTIF(Schedule!$L$4:$L$33,$A13)</f>
        <v/>
      </c>
      <c r="I13">
        <f>COUNTIF(Schedule!$M$4:$M$33,$A13)</f>
        <v/>
      </c>
      <c r="J13">
        <f>SUM(H13:I13)</f>
        <v/>
      </c>
      <c r="K13">
        <f>IF(B13&lt;=INDEX(Personnel!$M:$M,MATCH($A13,Personnel!$A:$A,0)),"OK","ΥΠΕΡΒΑΣΗ")</f>
        <v/>
      </c>
      <c r="L13">
        <f>IF(C13&lt;=INDEX(Personnel!$N:$N,MATCH($A13,Personnel!$A:$A,0)),"OK","ΠΟΛΛΑ ΣΚ")</f>
        <v/>
      </c>
    </row>
    <row r="14">
      <c r="A14" t="inlineStr">
        <is>
          <t>Στρατιώτης 013</t>
        </is>
      </c>
      <c r="B14">
        <f>SUM(D14:G14)</f>
        <v/>
      </c>
      <c r="C14">
        <f>COUNTIFS(Schedule!$A$4:$A$33,"Σάββατο",Schedule!$C$4:$C$33,$A14)+COUNTIFS(Schedule!$A$4:$A$33,"Σάββατο",Schedule!$D$4:$D$33,$A14)+COUNTIFS(Schedule!$A$4:$A$33,"Σάββατο",Schedule!$E$4:$E$33,$A14)+COUNTIFS(Schedule!$A$4:$A$33,"Σάββατο",Schedule!$G$4:$G$33,$A14)+COUNTIFS(Schedule!$A$4:$A$33,"Σάββατο",Schedule!$H$4:$H$33,$A14)+COUNTIFS(Schedule!$A$4:$A$33,"Σάββατο",Schedule!$I$4:$I$33,$A14)+COUNTIFS(Schedule!$A$4:$A$33,"Σάββατο",Schedule!$J$4:$J$33,$A14)+COUNTIFS(Schedule!$A$4:$A$33,"Σάββατο",Schedule!$K$4:$K$33,$A14)+COUNTIFS(Schedule!$A$4:$A$33,"Κυριακή",Schedule!$C$4:$C$33,$A14)+COUNTIFS(Schedule!$A$4:$A$33,"Κυριακή",Schedule!$D$4:$D$33,$A14)+COUNTIFS(Schedule!$A$4:$A$33,"Κυριακή",Schedule!$E$4:$E$33,$A14)+COUNTIFS(Schedule!$A$4:$A$33,"Κυριακή",Schedule!$G$4:$G$33,$A14)+COUNTIFS(Schedule!$A$4:$A$33,"Κυριακή",Schedule!$H$4:$H$33,$A14)+COUNTIFS(Schedule!$A$4:$A$33,"Κυριακή",Schedule!$I$4:$I$33,$A14)+COUNTIFS(Schedule!$A$4:$A$33,"Κυριακή",Schedule!$J$4:$J$33,$A14)+COUNTIFS(Schedule!$A$4:$A$33,"Κυριακή",Schedule!$K$4:$K$33,$A14)</f>
        <v/>
      </c>
      <c r="D14">
        <f>COUNTIF(Schedule!$C$4:$C$33,$A14)+COUNTIF(Schedule!$D$4:$D$33,$A14)+COUNTIF(Schedule!$E$4:$E$33,$A14)</f>
        <v/>
      </c>
      <c r="E14">
        <f>COUNTIF(Schedule!$G$4:$G$33,$A14)+COUNTIF(Schedule!$H$4:$H$33,$A14)</f>
        <v/>
      </c>
      <c r="F14">
        <f>COUNTIF(Schedule!$I$4:$I$33,$A14)+COUNTIF(Schedule!$J$4:$J$33,$A14)</f>
        <v/>
      </c>
      <c r="G14">
        <f>COUNTIF(Schedule!$K$4:$K$33,$A14)</f>
        <v/>
      </c>
      <c r="H14">
        <f>COUNTIF(Schedule!$L$4:$L$33,$A14)</f>
        <v/>
      </c>
      <c r="I14">
        <f>COUNTIF(Schedule!$M$4:$M$33,$A14)</f>
        <v/>
      </c>
      <c r="J14">
        <f>SUM(H14:I14)</f>
        <v/>
      </c>
      <c r="K14">
        <f>IF(B14&lt;=INDEX(Personnel!$M:$M,MATCH($A14,Personnel!$A:$A,0)),"OK","ΥΠΕΡΒΑΣΗ")</f>
        <v/>
      </c>
      <c r="L14">
        <f>IF(C14&lt;=INDEX(Personnel!$N:$N,MATCH($A14,Personnel!$A:$A,0)),"OK","ΠΟΛΛΑ ΣΚ")</f>
        <v/>
      </c>
    </row>
    <row r="15">
      <c r="A15" t="inlineStr">
        <is>
          <t>Στρατιώτης 014</t>
        </is>
      </c>
      <c r="B15">
        <f>SUM(D15:G15)</f>
        <v/>
      </c>
      <c r="C15">
        <f>COUNTIFS(Schedule!$A$4:$A$33,"Σάββατο",Schedule!$C$4:$C$33,$A15)+COUNTIFS(Schedule!$A$4:$A$33,"Σάββατο",Schedule!$D$4:$D$33,$A15)+COUNTIFS(Schedule!$A$4:$A$33,"Σάββατο",Schedule!$E$4:$E$33,$A15)+COUNTIFS(Schedule!$A$4:$A$33,"Σάββατο",Schedule!$G$4:$G$33,$A15)+COUNTIFS(Schedule!$A$4:$A$33,"Σάββατο",Schedule!$H$4:$H$33,$A15)+COUNTIFS(Schedule!$A$4:$A$33,"Σάββατο",Schedule!$I$4:$I$33,$A15)+COUNTIFS(Schedule!$A$4:$A$33,"Σάββατο",Schedule!$J$4:$J$33,$A15)+COUNTIFS(Schedule!$A$4:$A$33,"Σάββατο",Schedule!$K$4:$K$33,$A15)+COUNTIFS(Schedule!$A$4:$A$33,"Κυριακή",Schedule!$C$4:$C$33,$A15)+COUNTIFS(Schedule!$A$4:$A$33,"Κυριακή",Schedule!$D$4:$D$33,$A15)+COUNTIFS(Schedule!$A$4:$A$33,"Κυριακή",Schedule!$E$4:$E$33,$A15)+COUNTIFS(Schedule!$A$4:$A$33,"Κυριακή",Schedule!$G$4:$G$33,$A15)+COUNTIFS(Schedule!$A$4:$A$33,"Κυριακή",Schedule!$H$4:$H$33,$A15)+COUNTIFS(Schedule!$A$4:$A$33,"Κυριακή",Schedule!$I$4:$I$33,$A15)+COUNTIFS(Schedule!$A$4:$A$33,"Κυριακή",Schedule!$J$4:$J$33,$A15)+COUNTIFS(Schedule!$A$4:$A$33,"Κυριακή",Schedule!$K$4:$K$33,$A15)</f>
        <v/>
      </c>
      <c r="D15">
        <f>COUNTIF(Schedule!$C$4:$C$33,$A15)+COUNTIF(Schedule!$D$4:$D$33,$A15)+COUNTIF(Schedule!$E$4:$E$33,$A15)</f>
        <v/>
      </c>
      <c r="E15">
        <f>COUNTIF(Schedule!$G$4:$G$33,$A15)+COUNTIF(Schedule!$H$4:$H$33,$A15)</f>
        <v/>
      </c>
      <c r="F15">
        <f>COUNTIF(Schedule!$I$4:$I$33,$A15)+COUNTIF(Schedule!$J$4:$J$33,$A15)</f>
        <v/>
      </c>
      <c r="G15">
        <f>COUNTIF(Schedule!$K$4:$K$33,$A15)</f>
        <v/>
      </c>
      <c r="H15">
        <f>COUNTIF(Schedule!$L$4:$L$33,$A15)</f>
        <v/>
      </c>
      <c r="I15">
        <f>COUNTIF(Schedule!$M$4:$M$33,$A15)</f>
        <v/>
      </c>
      <c r="J15">
        <f>SUM(H15:I15)</f>
        <v/>
      </c>
      <c r="K15">
        <f>IF(B15&lt;=INDEX(Personnel!$M:$M,MATCH($A15,Personnel!$A:$A,0)),"OK","ΥΠΕΡΒΑΣΗ")</f>
        <v/>
      </c>
      <c r="L15">
        <f>IF(C15&lt;=INDEX(Personnel!$N:$N,MATCH($A15,Personnel!$A:$A,0)),"OK","ΠΟΛΛΑ ΣΚ")</f>
        <v/>
      </c>
    </row>
    <row r="16">
      <c r="A16" t="inlineStr">
        <is>
          <t>Στρατιώτης 015</t>
        </is>
      </c>
      <c r="B16">
        <f>SUM(D16:G16)</f>
        <v/>
      </c>
      <c r="C16">
        <f>COUNTIFS(Schedule!$A$4:$A$33,"Σάββατο",Schedule!$C$4:$C$33,$A16)+COUNTIFS(Schedule!$A$4:$A$33,"Σάββατο",Schedule!$D$4:$D$33,$A16)+COUNTIFS(Schedule!$A$4:$A$33,"Σάββατο",Schedule!$E$4:$E$33,$A16)+COUNTIFS(Schedule!$A$4:$A$33,"Σάββατο",Schedule!$G$4:$G$33,$A16)+COUNTIFS(Schedule!$A$4:$A$33,"Σάββατο",Schedule!$H$4:$H$33,$A16)+COUNTIFS(Schedule!$A$4:$A$33,"Σάββατο",Schedule!$I$4:$I$33,$A16)+COUNTIFS(Schedule!$A$4:$A$33,"Σάββατο",Schedule!$J$4:$J$33,$A16)+COUNTIFS(Schedule!$A$4:$A$33,"Σάββατο",Schedule!$K$4:$K$33,$A16)+COUNTIFS(Schedule!$A$4:$A$33,"Κυριακή",Schedule!$C$4:$C$33,$A16)+COUNTIFS(Schedule!$A$4:$A$33,"Κυριακή",Schedule!$D$4:$D$33,$A16)+COUNTIFS(Schedule!$A$4:$A$33,"Κυριακή",Schedule!$E$4:$E$33,$A16)+COUNTIFS(Schedule!$A$4:$A$33,"Κυριακή",Schedule!$G$4:$G$33,$A16)+COUNTIFS(Schedule!$A$4:$A$33,"Κυριακή",Schedule!$H$4:$H$33,$A16)+COUNTIFS(Schedule!$A$4:$A$33,"Κυριακή",Schedule!$I$4:$I$33,$A16)+COUNTIFS(Schedule!$A$4:$A$33,"Κυριακή",Schedule!$J$4:$J$33,$A16)+COUNTIFS(Schedule!$A$4:$A$33,"Κυριακή",Schedule!$K$4:$K$33,$A16)</f>
        <v/>
      </c>
      <c r="D16">
        <f>COUNTIF(Schedule!$C$4:$C$33,$A16)+COUNTIF(Schedule!$D$4:$D$33,$A16)+COUNTIF(Schedule!$E$4:$E$33,$A16)</f>
        <v/>
      </c>
      <c r="E16">
        <f>COUNTIF(Schedule!$G$4:$G$33,$A16)+COUNTIF(Schedule!$H$4:$H$33,$A16)</f>
        <v/>
      </c>
      <c r="F16">
        <f>COUNTIF(Schedule!$I$4:$I$33,$A16)+COUNTIF(Schedule!$J$4:$J$33,$A16)</f>
        <v/>
      </c>
      <c r="G16">
        <f>COUNTIF(Schedule!$K$4:$K$33,$A16)</f>
        <v/>
      </c>
      <c r="H16">
        <f>COUNTIF(Schedule!$L$4:$L$33,$A16)</f>
        <v/>
      </c>
      <c r="I16">
        <f>COUNTIF(Schedule!$M$4:$M$33,$A16)</f>
        <v/>
      </c>
      <c r="J16">
        <f>SUM(H16:I16)</f>
        <v/>
      </c>
      <c r="K16">
        <f>IF(B16&lt;=INDEX(Personnel!$M:$M,MATCH($A16,Personnel!$A:$A,0)),"OK","ΥΠΕΡΒΑΣΗ")</f>
        <v/>
      </c>
      <c r="L16">
        <f>IF(C16&lt;=INDEX(Personnel!$N:$N,MATCH($A16,Personnel!$A:$A,0)),"OK","ΠΟΛΛΑ ΣΚ")</f>
        <v/>
      </c>
    </row>
    <row r="17">
      <c r="A17" t="inlineStr">
        <is>
          <t>Στρατιώτης 016</t>
        </is>
      </c>
      <c r="B17">
        <f>SUM(D17:G17)</f>
        <v/>
      </c>
      <c r="C17">
        <f>COUNTIFS(Schedule!$A$4:$A$33,"Σάββατο",Schedule!$C$4:$C$33,$A17)+COUNTIFS(Schedule!$A$4:$A$33,"Σάββατο",Schedule!$D$4:$D$33,$A17)+COUNTIFS(Schedule!$A$4:$A$33,"Σάββατο",Schedule!$E$4:$E$33,$A17)+COUNTIFS(Schedule!$A$4:$A$33,"Σάββατο",Schedule!$G$4:$G$33,$A17)+COUNTIFS(Schedule!$A$4:$A$33,"Σάββατο",Schedule!$H$4:$H$33,$A17)+COUNTIFS(Schedule!$A$4:$A$33,"Σάββατο",Schedule!$I$4:$I$33,$A17)+COUNTIFS(Schedule!$A$4:$A$33,"Σάββατο",Schedule!$J$4:$J$33,$A17)+COUNTIFS(Schedule!$A$4:$A$33,"Σάββατο",Schedule!$K$4:$K$33,$A17)+COUNTIFS(Schedule!$A$4:$A$33,"Κυριακή",Schedule!$C$4:$C$33,$A17)+COUNTIFS(Schedule!$A$4:$A$33,"Κυριακή",Schedule!$D$4:$D$33,$A17)+COUNTIFS(Schedule!$A$4:$A$33,"Κυριακή",Schedule!$E$4:$E$33,$A17)+COUNTIFS(Schedule!$A$4:$A$33,"Κυριακή",Schedule!$G$4:$G$33,$A17)+COUNTIFS(Schedule!$A$4:$A$33,"Κυριακή",Schedule!$H$4:$H$33,$A17)+COUNTIFS(Schedule!$A$4:$A$33,"Κυριακή",Schedule!$I$4:$I$33,$A17)+COUNTIFS(Schedule!$A$4:$A$33,"Κυριακή",Schedule!$J$4:$J$33,$A17)+COUNTIFS(Schedule!$A$4:$A$33,"Κυριακή",Schedule!$K$4:$K$33,$A17)</f>
        <v/>
      </c>
      <c r="D17">
        <f>COUNTIF(Schedule!$C$4:$C$33,$A17)+COUNTIF(Schedule!$D$4:$D$33,$A17)+COUNTIF(Schedule!$E$4:$E$33,$A17)</f>
        <v/>
      </c>
      <c r="E17">
        <f>COUNTIF(Schedule!$G$4:$G$33,$A17)+COUNTIF(Schedule!$H$4:$H$33,$A17)</f>
        <v/>
      </c>
      <c r="F17">
        <f>COUNTIF(Schedule!$I$4:$I$33,$A17)+COUNTIF(Schedule!$J$4:$J$33,$A17)</f>
        <v/>
      </c>
      <c r="G17">
        <f>COUNTIF(Schedule!$K$4:$K$33,$A17)</f>
        <v/>
      </c>
      <c r="H17">
        <f>COUNTIF(Schedule!$L$4:$L$33,$A17)</f>
        <v/>
      </c>
      <c r="I17">
        <f>COUNTIF(Schedule!$M$4:$M$33,$A17)</f>
        <v/>
      </c>
      <c r="J17">
        <f>SUM(H17:I17)</f>
        <v/>
      </c>
      <c r="K17">
        <f>IF(B17&lt;=INDEX(Personnel!$M:$M,MATCH($A17,Personnel!$A:$A,0)),"OK","ΥΠΕΡΒΑΣΗ")</f>
        <v/>
      </c>
      <c r="L17">
        <f>IF(C17&lt;=INDEX(Personnel!$N:$N,MATCH($A17,Personnel!$A:$A,0)),"OK","ΠΟΛΛΑ ΣΚ")</f>
        <v/>
      </c>
    </row>
    <row r="18">
      <c r="A18" t="inlineStr">
        <is>
          <t>Στρατιώτης 017</t>
        </is>
      </c>
      <c r="B18">
        <f>SUM(D18:G18)</f>
        <v/>
      </c>
      <c r="C18">
        <f>COUNTIFS(Schedule!$A$4:$A$33,"Σάββατο",Schedule!$C$4:$C$33,$A18)+COUNTIFS(Schedule!$A$4:$A$33,"Σάββατο",Schedule!$D$4:$D$33,$A18)+COUNTIFS(Schedule!$A$4:$A$33,"Σάββατο",Schedule!$E$4:$E$33,$A18)+COUNTIFS(Schedule!$A$4:$A$33,"Σάββατο",Schedule!$G$4:$G$33,$A18)+COUNTIFS(Schedule!$A$4:$A$33,"Σάββατο",Schedule!$H$4:$H$33,$A18)+COUNTIFS(Schedule!$A$4:$A$33,"Σάββατο",Schedule!$I$4:$I$33,$A18)+COUNTIFS(Schedule!$A$4:$A$33,"Σάββατο",Schedule!$J$4:$J$33,$A18)+COUNTIFS(Schedule!$A$4:$A$33,"Σάββατο",Schedule!$K$4:$K$33,$A18)+COUNTIFS(Schedule!$A$4:$A$33,"Κυριακή",Schedule!$C$4:$C$33,$A18)+COUNTIFS(Schedule!$A$4:$A$33,"Κυριακή",Schedule!$D$4:$D$33,$A18)+COUNTIFS(Schedule!$A$4:$A$33,"Κυριακή",Schedule!$E$4:$E$33,$A18)+COUNTIFS(Schedule!$A$4:$A$33,"Κυριακή",Schedule!$G$4:$G$33,$A18)+COUNTIFS(Schedule!$A$4:$A$33,"Κυριακή",Schedule!$H$4:$H$33,$A18)+COUNTIFS(Schedule!$A$4:$A$33,"Κυριακή",Schedule!$I$4:$I$33,$A18)+COUNTIFS(Schedule!$A$4:$A$33,"Κυριακή",Schedule!$J$4:$J$33,$A18)+COUNTIFS(Schedule!$A$4:$A$33,"Κυριακή",Schedule!$K$4:$K$33,$A18)</f>
        <v/>
      </c>
      <c r="D18">
        <f>COUNTIF(Schedule!$C$4:$C$33,$A18)+COUNTIF(Schedule!$D$4:$D$33,$A18)+COUNTIF(Schedule!$E$4:$E$33,$A18)</f>
        <v/>
      </c>
      <c r="E18">
        <f>COUNTIF(Schedule!$G$4:$G$33,$A18)+COUNTIF(Schedule!$H$4:$H$33,$A18)</f>
        <v/>
      </c>
      <c r="F18">
        <f>COUNTIF(Schedule!$I$4:$I$33,$A18)+COUNTIF(Schedule!$J$4:$J$33,$A18)</f>
        <v/>
      </c>
      <c r="G18">
        <f>COUNTIF(Schedule!$K$4:$K$33,$A18)</f>
        <v/>
      </c>
      <c r="H18">
        <f>COUNTIF(Schedule!$L$4:$L$33,$A18)</f>
        <v/>
      </c>
      <c r="I18">
        <f>COUNTIF(Schedule!$M$4:$M$33,$A18)</f>
        <v/>
      </c>
      <c r="J18">
        <f>SUM(H18:I18)</f>
        <v/>
      </c>
      <c r="K18">
        <f>IF(B18&lt;=INDEX(Personnel!$M:$M,MATCH($A18,Personnel!$A:$A,0)),"OK","ΥΠΕΡΒΑΣΗ")</f>
        <v/>
      </c>
      <c r="L18">
        <f>IF(C18&lt;=INDEX(Personnel!$N:$N,MATCH($A18,Personnel!$A:$A,0)),"OK","ΠΟΛΛΑ ΣΚ")</f>
        <v/>
      </c>
    </row>
    <row r="19">
      <c r="A19" t="inlineStr">
        <is>
          <t>Στρατιώτης 018</t>
        </is>
      </c>
      <c r="B19">
        <f>SUM(D19:G19)</f>
        <v/>
      </c>
      <c r="C19">
        <f>COUNTIFS(Schedule!$A$4:$A$33,"Σάββατο",Schedule!$C$4:$C$33,$A19)+COUNTIFS(Schedule!$A$4:$A$33,"Σάββατο",Schedule!$D$4:$D$33,$A19)+COUNTIFS(Schedule!$A$4:$A$33,"Σάββατο",Schedule!$E$4:$E$33,$A19)+COUNTIFS(Schedule!$A$4:$A$33,"Σάββατο",Schedule!$G$4:$G$33,$A19)+COUNTIFS(Schedule!$A$4:$A$33,"Σάββατο",Schedule!$H$4:$H$33,$A19)+COUNTIFS(Schedule!$A$4:$A$33,"Σάββατο",Schedule!$I$4:$I$33,$A19)+COUNTIFS(Schedule!$A$4:$A$33,"Σάββατο",Schedule!$J$4:$J$33,$A19)+COUNTIFS(Schedule!$A$4:$A$33,"Σάββατο",Schedule!$K$4:$K$33,$A19)+COUNTIFS(Schedule!$A$4:$A$33,"Κυριακή",Schedule!$C$4:$C$33,$A19)+COUNTIFS(Schedule!$A$4:$A$33,"Κυριακή",Schedule!$D$4:$D$33,$A19)+COUNTIFS(Schedule!$A$4:$A$33,"Κυριακή",Schedule!$E$4:$E$33,$A19)+COUNTIFS(Schedule!$A$4:$A$33,"Κυριακή",Schedule!$G$4:$G$33,$A19)+COUNTIFS(Schedule!$A$4:$A$33,"Κυριακή",Schedule!$H$4:$H$33,$A19)+COUNTIFS(Schedule!$A$4:$A$33,"Κυριακή",Schedule!$I$4:$I$33,$A19)+COUNTIFS(Schedule!$A$4:$A$33,"Κυριακή",Schedule!$J$4:$J$33,$A19)+COUNTIFS(Schedule!$A$4:$A$33,"Κυριακή",Schedule!$K$4:$K$33,$A19)</f>
        <v/>
      </c>
      <c r="D19">
        <f>COUNTIF(Schedule!$C$4:$C$33,$A19)+COUNTIF(Schedule!$D$4:$D$33,$A19)+COUNTIF(Schedule!$E$4:$E$33,$A19)</f>
        <v/>
      </c>
      <c r="E19">
        <f>COUNTIF(Schedule!$G$4:$G$33,$A19)+COUNTIF(Schedule!$H$4:$H$33,$A19)</f>
        <v/>
      </c>
      <c r="F19">
        <f>COUNTIF(Schedule!$I$4:$I$33,$A19)+COUNTIF(Schedule!$J$4:$J$33,$A19)</f>
        <v/>
      </c>
      <c r="G19">
        <f>COUNTIF(Schedule!$K$4:$K$33,$A19)</f>
        <v/>
      </c>
      <c r="H19">
        <f>COUNTIF(Schedule!$L$4:$L$33,$A19)</f>
        <v/>
      </c>
      <c r="I19">
        <f>COUNTIF(Schedule!$M$4:$M$33,$A19)</f>
        <v/>
      </c>
      <c r="J19">
        <f>SUM(H19:I19)</f>
        <v/>
      </c>
      <c r="K19">
        <f>IF(B19&lt;=INDEX(Personnel!$M:$M,MATCH($A19,Personnel!$A:$A,0)),"OK","ΥΠΕΡΒΑΣΗ")</f>
        <v/>
      </c>
      <c r="L19">
        <f>IF(C19&lt;=INDEX(Personnel!$N:$N,MATCH($A19,Personnel!$A:$A,0)),"OK","ΠΟΛΛΑ ΣΚ")</f>
        <v/>
      </c>
    </row>
    <row r="20">
      <c r="A20" t="inlineStr">
        <is>
          <t>Στρατιώτης 019</t>
        </is>
      </c>
      <c r="B20">
        <f>SUM(D20:G20)</f>
        <v/>
      </c>
      <c r="C20">
        <f>COUNTIFS(Schedule!$A$4:$A$33,"Σάββατο",Schedule!$C$4:$C$33,$A20)+COUNTIFS(Schedule!$A$4:$A$33,"Σάββατο",Schedule!$D$4:$D$33,$A20)+COUNTIFS(Schedule!$A$4:$A$33,"Σάββατο",Schedule!$E$4:$E$33,$A20)+COUNTIFS(Schedule!$A$4:$A$33,"Σάββατο",Schedule!$G$4:$G$33,$A20)+COUNTIFS(Schedule!$A$4:$A$33,"Σάββατο",Schedule!$H$4:$H$33,$A20)+COUNTIFS(Schedule!$A$4:$A$33,"Σάββατο",Schedule!$I$4:$I$33,$A20)+COUNTIFS(Schedule!$A$4:$A$33,"Σάββατο",Schedule!$J$4:$J$33,$A20)+COUNTIFS(Schedule!$A$4:$A$33,"Σάββατο",Schedule!$K$4:$K$33,$A20)+COUNTIFS(Schedule!$A$4:$A$33,"Κυριακή",Schedule!$C$4:$C$33,$A20)+COUNTIFS(Schedule!$A$4:$A$33,"Κυριακή",Schedule!$D$4:$D$33,$A20)+COUNTIFS(Schedule!$A$4:$A$33,"Κυριακή",Schedule!$E$4:$E$33,$A20)+COUNTIFS(Schedule!$A$4:$A$33,"Κυριακή",Schedule!$G$4:$G$33,$A20)+COUNTIFS(Schedule!$A$4:$A$33,"Κυριακή",Schedule!$H$4:$H$33,$A20)+COUNTIFS(Schedule!$A$4:$A$33,"Κυριακή",Schedule!$I$4:$I$33,$A20)+COUNTIFS(Schedule!$A$4:$A$33,"Κυριακή",Schedule!$J$4:$J$33,$A20)+COUNTIFS(Schedule!$A$4:$A$33,"Κυριακή",Schedule!$K$4:$K$33,$A20)</f>
        <v/>
      </c>
      <c r="D20">
        <f>COUNTIF(Schedule!$C$4:$C$33,$A20)+COUNTIF(Schedule!$D$4:$D$33,$A20)+COUNTIF(Schedule!$E$4:$E$33,$A20)</f>
        <v/>
      </c>
      <c r="E20">
        <f>COUNTIF(Schedule!$G$4:$G$33,$A20)+COUNTIF(Schedule!$H$4:$H$33,$A20)</f>
        <v/>
      </c>
      <c r="F20">
        <f>COUNTIF(Schedule!$I$4:$I$33,$A20)+COUNTIF(Schedule!$J$4:$J$33,$A20)</f>
        <v/>
      </c>
      <c r="G20">
        <f>COUNTIF(Schedule!$K$4:$K$33,$A20)</f>
        <v/>
      </c>
      <c r="H20">
        <f>COUNTIF(Schedule!$L$4:$L$33,$A20)</f>
        <v/>
      </c>
      <c r="I20">
        <f>COUNTIF(Schedule!$M$4:$M$33,$A20)</f>
        <v/>
      </c>
      <c r="J20">
        <f>SUM(H20:I20)</f>
        <v/>
      </c>
      <c r="K20">
        <f>IF(B20&lt;=INDEX(Personnel!$M:$M,MATCH($A20,Personnel!$A:$A,0)),"OK","ΥΠΕΡΒΑΣΗ")</f>
        <v/>
      </c>
      <c r="L20">
        <f>IF(C20&lt;=INDEX(Personnel!$N:$N,MATCH($A20,Personnel!$A:$A,0)),"OK","ΠΟΛΛΑ ΣΚ")</f>
        <v/>
      </c>
    </row>
    <row r="21">
      <c r="A21" t="inlineStr">
        <is>
          <t>Στρατιώτης 020</t>
        </is>
      </c>
      <c r="B21">
        <f>SUM(D21:G21)</f>
        <v/>
      </c>
      <c r="C21">
        <f>COUNTIFS(Schedule!$A$4:$A$33,"Σάββατο",Schedule!$C$4:$C$33,$A21)+COUNTIFS(Schedule!$A$4:$A$33,"Σάββατο",Schedule!$D$4:$D$33,$A21)+COUNTIFS(Schedule!$A$4:$A$33,"Σάββατο",Schedule!$E$4:$E$33,$A21)+COUNTIFS(Schedule!$A$4:$A$33,"Σάββατο",Schedule!$G$4:$G$33,$A21)+COUNTIFS(Schedule!$A$4:$A$33,"Σάββατο",Schedule!$H$4:$H$33,$A21)+COUNTIFS(Schedule!$A$4:$A$33,"Σάββατο",Schedule!$I$4:$I$33,$A21)+COUNTIFS(Schedule!$A$4:$A$33,"Σάββατο",Schedule!$J$4:$J$33,$A21)+COUNTIFS(Schedule!$A$4:$A$33,"Σάββατο",Schedule!$K$4:$K$33,$A21)+COUNTIFS(Schedule!$A$4:$A$33,"Κυριακή",Schedule!$C$4:$C$33,$A21)+COUNTIFS(Schedule!$A$4:$A$33,"Κυριακή",Schedule!$D$4:$D$33,$A21)+COUNTIFS(Schedule!$A$4:$A$33,"Κυριακή",Schedule!$E$4:$E$33,$A21)+COUNTIFS(Schedule!$A$4:$A$33,"Κυριακή",Schedule!$G$4:$G$33,$A21)+COUNTIFS(Schedule!$A$4:$A$33,"Κυριακή",Schedule!$H$4:$H$33,$A21)+COUNTIFS(Schedule!$A$4:$A$33,"Κυριακή",Schedule!$I$4:$I$33,$A21)+COUNTIFS(Schedule!$A$4:$A$33,"Κυριακή",Schedule!$J$4:$J$33,$A21)+COUNTIFS(Schedule!$A$4:$A$33,"Κυριακή",Schedule!$K$4:$K$33,$A21)</f>
        <v/>
      </c>
      <c r="D21">
        <f>COUNTIF(Schedule!$C$4:$C$33,$A21)+COUNTIF(Schedule!$D$4:$D$33,$A21)+COUNTIF(Schedule!$E$4:$E$33,$A21)</f>
        <v/>
      </c>
      <c r="E21">
        <f>COUNTIF(Schedule!$G$4:$G$33,$A21)+COUNTIF(Schedule!$H$4:$H$33,$A21)</f>
        <v/>
      </c>
      <c r="F21">
        <f>COUNTIF(Schedule!$I$4:$I$33,$A21)+COUNTIF(Schedule!$J$4:$J$33,$A21)</f>
        <v/>
      </c>
      <c r="G21">
        <f>COUNTIF(Schedule!$K$4:$K$33,$A21)</f>
        <v/>
      </c>
      <c r="H21">
        <f>COUNTIF(Schedule!$L$4:$L$33,$A21)</f>
        <v/>
      </c>
      <c r="I21">
        <f>COUNTIF(Schedule!$M$4:$M$33,$A21)</f>
        <v/>
      </c>
      <c r="J21">
        <f>SUM(H21:I21)</f>
        <v/>
      </c>
      <c r="K21">
        <f>IF(B21&lt;=INDEX(Personnel!$M:$M,MATCH($A21,Personnel!$A:$A,0)),"OK","ΥΠΕΡΒΑΣΗ")</f>
        <v/>
      </c>
      <c r="L21">
        <f>IF(C21&lt;=INDEX(Personnel!$N:$N,MATCH($A21,Personnel!$A:$A,0)),"OK","ΠΟΛΛΑ ΣΚ")</f>
        <v/>
      </c>
    </row>
    <row r="22">
      <c r="A22" t="inlineStr">
        <is>
          <t>Στρατιώτης 021</t>
        </is>
      </c>
      <c r="B22">
        <f>SUM(D22:G22)</f>
        <v/>
      </c>
      <c r="C22">
        <f>COUNTIFS(Schedule!$A$4:$A$33,"Σάββατο",Schedule!$C$4:$C$33,$A22)+COUNTIFS(Schedule!$A$4:$A$33,"Σάββατο",Schedule!$D$4:$D$33,$A22)+COUNTIFS(Schedule!$A$4:$A$33,"Σάββατο",Schedule!$E$4:$E$33,$A22)+COUNTIFS(Schedule!$A$4:$A$33,"Σάββατο",Schedule!$G$4:$G$33,$A22)+COUNTIFS(Schedule!$A$4:$A$33,"Σάββατο",Schedule!$H$4:$H$33,$A22)+COUNTIFS(Schedule!$A$4:$A$33,"Σάββατο",Schedule!$I$4:$I$33,$A22)+COUNTIFS(Schedule!$A$4:$A$33,"Σάββατο",Schedule!$J$4:$J$33,$A22)+COUNTIFS(Schedule!$A$4:$A$33,"Σάββατο",Schedule!$K$4:$K$33,$A22)+COUNTIFS(Schedule!$A$4:$A$33,"Κυριακή",Schedule!$C$4:$C$33,$A22)+COUNTIFS(Schedule!$A$4:$A$33,"Κυριακή",Schedule!$D$4:$D$33,$A22)+COUNTIFS(Schedule!$A$4:$A$33,"Κυριακή",Schedule!$E$4:$E$33,$A22)+COUNTIFS(Schedule!$A$4:$A$33,"Κυριακή",Schedule!$G$4:$G$33,$A22)+COUNTIFS(Schedule!$A$4:$A$33,"Κυριακή",Schedule!$H$4:$H$33,$A22)+COUNTIFS(Schedule!$A$4:$A$33,"Κυριακή",Schedule!$I$4:$I$33,$A22)+COUNTIFS(Schedule!$A$4:$A$33,"Κυριακή",Schedule!$J$4:$J$33,$A22)+COUNTIFS(Schedule!$A$4:$A$33,"Κυριακή",Schedule!$K$4:$K$33,$A22)</f>
        <v/>
      </c>
      <c r="D22">
        <f>COUNTIF(Schedule!$C$4:$C$33,$A22)+COUNTIF(Schedule!$D$4:$D$33,$A22)+COUNTIF(Schedule!$E$4:$E$33,$A22)</f>
        <v/>
      </c>
      <c r="E22">
        <f>COUNTIF(Schedule!$G$4:$G$33,$A22)+COUNTIF(Schedule!$H$4:$H$33,$A22)</f>
        <v/>
      </c>
      <c r="F22">
        <f>COUNTIF(Schedule!$I$4:$I$33,$A22)+COUNTIF(Schedule!$J$4:$J$33,$A22)</f>
        <v/>
      </c>
      <c r="G22">
        <f>COUNTIF(Schedule!$K$4:$K$33,$A22)</f>
        <v/>
      </c>
      <c r="H22">
        <f>COUNTIF(Schedule!$L$4:$L$33,$A22)</f>
        <v/>
      </c>
      <c r="I22">
        <f>COUNTIF(Schedule!$M$4:$M$33,$A22)</f>
        <v/>
      </c>
      <c r="J22">
        <f>SUM(H22:I22)</f>
        <v/>
      </c>
      <c r="K22">
        <f>IF(B22&lt;=INDEX(Personnel!$M:$M,MATCH($A22,Personnel!$A:$A,0)),"OK","ΥΠΕΡΒΑΣΗ")</f>
        <v/>
      </c>
      <c r="L22">
        <f>IF(C22&lt;=INDEX(Personnel!$N:$N,MATCH($A22,Personnel!$A:$A,0)),"OK","ΠΟΛΛΑ ΣΚ")</f>
        <v/>
      </c>
    </row>
    <row r="23">
      <c r="A23" t="inlineStr">
        <is>
          <t>Στρατιώτης 022</t>
        </is>
      </c>
      <c r="B23">
        <f>SUM(D23:G23)</f>
        <v/>
      </c>
      <c r="C23">
        <f>COUNTIFS(Schedule!$A$4:$A$33,"Σάββατο",Schedule!$C$4:$C$33,$A23)+COUNTIFS(Schedule!$A$4:$A$33,"Σάββατο",Schedule!$D$4:$D$33,$A23)+COUNTIFS(Schedule!$A$4:$A$33,"Σάββατο",Schedule!$E$4:$E$33,$A23)+COUNTIFS(Schedule!$A$4:$A$33,"Σάββατο",Schedule!$G$4:$G$33,$A23)+COUNTIFS(Schedule!$A$4:$A$33,"Σάββατο",Schedule!$H$4:$H$33,$A23)+COUNTIFS(Schedule!$A$4:$A$33,"Σάββατο",Schedule!$I$4:$I$33,$A23)+COUNTIFS(Schedule!$A$4:$A$33,"Σάββατο",Schedule!$J$4:$J$33,$A23)+COUNTIFS(Schedule!$A$4:$A$33,"Σάββατο",Schedule!$K$4:$K$33,$A23)+COUNTIFS(Schedule!$A$4:$A$33,"Κυριακή",Schedule!$C$4:$C$33,$A23)+COUNTIFS(Schedule!$A$4:$A$33,"Κυριακή",Schedule!$D$4:$D$33,$A23)+COUNTIFS(Schedule!$A$4:$A$33,"Κυριακή",Schedule!$E$4:$E$33,$A23)+COUNTIFS(Schedule!$A$4:$A$33,"Κυριακή",Schedule!$G$4:$G$33,$A23)+COUNTIFS(Schedule!$A$4:$A$33,"Κυριακή",Schedule!$H$4:$H$33,$A23)+COUNTIFS(Schedule!$A$4:$A$33,"Κυριακή",Schedule!$I$4:$I$33,$A23)+COUNTIFS(Schedule!$A$4:$A$33,"Κυριακή",Schedule!$J$4:$J$33,$A23)+COUNTIFS(Schedule!$A$4:$A$33,"Κυριακή",Schedule!$K$4:$K$33,$A23)</f>
        <v/>
      </c>
      <c r="D23">
        <f>COUNTIF(Schedule!$C$4:$C$33,$A23)+COUNTIF(Schedule!$D$4:$D$33,$A23)+COUNTIF(Schedule!$E$4:$E$33,$A23)</f>
        <v/>
      </c>
      <c r="E23">
        <f>COUNTIF(Schedule!$G$4:$G$33,$A23)+COUNTIF(Schedule!$H$4:$H$33,$A23)</f>
        <v/>
      </c>
      <c r="F23">
        <f>COUNTIF(Schedule!$I$4:$I$33,$A23)+COUNTIF(Schedule!$J$4:$J$33,$A23)</f>
        <v/>
      </c>
      <c r="G23">
        <f>COUNTIF(Schedule!$K$4:$K$33,$A23)</f>
        <v/>
      </c>
      <c r="H23">
        <f>COUNTIF(Schedule!$L$4:$L$33,$A23)</f>
        <v/>
      </c>
      <c r="I23">
        <f>COUNTIF(Schedule!$M$4:$M$33,$A23)</f>
        <v/>
      </c>
      <c r="J23">
        <f>SUM(H23:I23)</f>
        <v/>
      </c>
      <c r="K23">
        <f>IF(B23&lt;=INDEX(Personnel!$M:$M,MATCH($A23,Personnel!$A:$A,0)),"OK","ΥΠΕΡΒΑΣΗ")</f>
        <v/>
      </c>
      <c r="L23">
        <f>IF(C23&lt;=INDEX(Personnel!$N:$N,MATCH($A23,Personnel!$A:$A,0)),"OK","ΠΟΛΛΑ ΣΚ")</f>
        <v/>
      </c>
    </row>
    <row r="24">
      <c r="A24" t="inlineStr">
        <is>
          <t>Στρατιώτης 023</t>
        </is>
      </c>
      <c r="B24">
        <f>SUM(D24:G24)</f>
        <v/>
      </c>
      <c r="C24">
        <f>COUNTIFS(Schedule!$A$4:$A$33,"Σάββατο",Schedule!$C$4:$C$33,$A24)+COUNTIFS(Schedule!$A$4:$A$33,"Σάββατο",Schedule!$D$4:$D$33,$A24)+COUNTIFS(Schedule!$A$4:$A$33,"Σάββατο",Schedule!$E$4:$E$33,$A24)+COUNTIFS(Schedule!$A$4:$A$33,"Σάββατο",Schedule!$G$4:$G$33,$A24)+COUNTIFS(Schedule!$A$4:$A$33,"Σάββατο",Schedule!$H$4:$H$33,$A24)+COUNTIFS(Schedule!$A$4:$A$33,"Σάββατο",Schedule!$I$4:$I$33,$A24)+COUNTIFS(Schedule!$A$4:$A$33,"Σάββατο",Schedule!$J$4:$J$33,$A24)+COUNTIFS(Schedule!$A$4:$A$33,"Σάββατο",Schedule!$K$4:$K$33,$A24)+COUNTIFS(Schedule!$A$4:$A$33,"Κυριακή",Schedule!$C$4:$C$33,$A24)+COUNTIFS(Schedule!$A$4:$A$33,"Κυριακή",Schedule!$D$4:$D$33,$A24)+COUNTIFS(Schedule!$A$4:$A$33,"Κυριακή",Schedule!$E$4:$E$33,$A24)+COUNTIFS(Schedule!$A$4:$A$33,"Κυριακή",Schedule!$G$4:$G$33,$A24)+COUNTIFS(Schedule!$A$4:$A$33,"Κυριακή",Schedule!$H$4:$H$33,$A24)+COUNTIFS(Schedule!$A$4:$A$33,"Κυριακή",Schedule!$I$4:$I$33,$A24)+COUNTIFS(Schedule!$A$4:$A$33,"Κυριακή",Schedule!$J$4:$J$33,$A24)+COUNTIFS(Schedule!$A$4:$A$33,"Κυριακή",Schedule!$K$4:$K$33,$A24)</f>
        <v/>
      </c>
      <c r="D24">
        <f>COUNTIF(Schedule!$C$4:$C$33,$A24)+COUNTIF(Schedule!$D$4:$D$33,$A24)+COUNTIF(Schedule!$E$4:$E$33,$A24)</f>
        <v/>
      </c>
      <c r="E24">
        <f>COUNTIF(Schedule!$G$4:$G$33,$A24)+COUNTIF(Schedule!$H$4:$H$33,$A24)</f>
        <v/>
      </c>
      <c r="F24">
        <f>COUNTIF(Schedule!$I$4:$I$33,$A24)+COUNTIF(Schedule!$J$4:$J$33,$A24)</f>
        <v/>
      </c>
      <c r="G24">
        <f>COUNTIF(Schedule!$K$4:$K$33,$A24)</f>
        <v/>
      </c>
      <c r="H24">
        <f>COUNTIF(Schedule!$L$4:$L$33,$A24)</f>
        <v/>
      </c>
      <c r="I24">
        <f>COUNTIF(Schedule!$M$4:$M$33,$A24)</f>
        <v/>
      </c>
      <c r="J24">
        <f>SUM(H24:I24)</f>
        <v/>
      </c>
      <c r="K24">
        <f>IF(B24&lt;=INDEX(Personnel!$M:$M,MATCH($A24,Personnel!$A:$A,0)),"OK","ΥΠΕΡΒΑΣΗ")</f>
        <v/>
      </c>
      <c r="L24">
        <f>IF(C24&lt;=INDEX(Personnel!$N:$N,MATCH($A24,Personnel!$A:$A,0)),"OK","ΠΟΛΛΑ ΣΚ")</f>
        <v/>
      </c>
    </row>
    <row r="25">
      <c r="A25" t="inlineStr">
        <is>
          <t>Στρατιώτης 024</t>
        </is>
      </c>
      <c r="B25">
        <f>SUM(D25:G25)</f>
        <v/>
      </c>
      <c r="C25">
        <f>COUNTIFS(Schedule!$A$4:$A$33,"Σάββατο",Schedule!$C$4:$C$33,$A25)+COUNTIFS(Schedule!$A$4:$A$33,"Σάββατο",Schedule!$D$4:$D$33,$A25)+COUNTIFS(Schedule!$A$4:$A$33,"Σάββατο",Schedule!$E$4:$E$33,$A25)+COUNTIFS(Schedule!$A$4:$A$33,"Σάββατο",Schedule!$G$4:$G$33,$A25)+COUNTIFS(Schedule!$A$4:$A$33,"Σάββατο",Schedule!$H$4:$H$33,$A25)+COUNTIFS(Schedule!$A$4:$A$33,"Σάββατο",Schedule!$I$4:$I$33,$A25)+COUNTIFS(Schedule!$A$4:$A$33,"Σάββατο",Schedule!$J$4:$J$33,$A25)+COUNTIFS(Schedule!$A$4:$A$33,"Σάββατο",Schedule!$K$4:$K$33,$A25)+COUNTIFS(Schedule!$A$4:$A$33,"Κυριακή",Schedule!$C$4:$C$33,$A25)+COUNTIFS(Schedule!$A$4:$A$33,"Κυριακή",Schedule!$D$4:$D$33,$A25)+COUNTIFS(Schedule!$A$4:$A$33,"Κυριακή",Schedule!$E$4:$E$33,$A25)+COUNTIFS(Schedule!$A$4:$A$33,"Κυριακή",Schedule!$G$4:$G$33,$A25)+COUNTIFS(Schedule!$A$4:$A$33,"Κυριακή",Schedule!$H$4:$H$33,$A25)+COUNTIFS(Schedule!$A$4:$A$33,"Κυριακή",Schedule!$I$4:$I$33,$A25)+COUNTIFS(Schedule!$A$4:$A$33,"Κυριακή",Schedule!$J$4:$J$33,$A25)+COUNTIFS(Schedule!$A$4:$A$33,"Κυριακή",Schedule!$K$4:$K$33,$A25)</f>
        <v/>
      </c>
      <c r="D25">
        <f>COUNTIF(Schedule!$C$4:$C$33,$A25)+COUNTIF(Schedule!$D$4:$D$33,$A25)+COUNTIF(Schedule!$E$4:$E$33,$A25)</f>
        <v/>
      </c>
      <c r="E25">
        <f>COUNTIF(Schedule!$G$4:$G$33,$A25)+COUNTIF(Schedule!$H$4:$H$33,$A25)</f>
        <v/>
      </c>
      <c r="F25">
        <f>COUNTIF(Schedule!$I$4:$I$33,$A25)+COUNTIF(Schedule!$J$4:$J$33,$A25)</f>
        <v/>
      </c>
      <c r="G25">
        <f>COUNTIF(Schedule!$K$4:$K$33,$A25)</f>
        <v/>
      </c>
      <c r="H25">
        <f>COUNTIF(Schedule!$L$4:$L$33,$A25)</f>
        <v/>
      </c>
      <c r="I25">
        <f>COUNTIF(Schedule!$M$4:$M$33,$A25)</f>
        <v/>
      </c>
      <c r="J25">
        <f>SUM(H25:I25)</f>
        <v/>
      </c>
      <c r="K25">
        <f>IF(B25&lt;=INDEX(Personnel!$M:$M,MATCH($A25,Personnel!$A:$A,0)),"OK","ΥΠΕΡΒΑΣΗ")</f>
        <v/>
      </c>
      <c r="L25">
        <f>IF(C25&lt;=INDEX(Personnel!$N:$N,MATCH($A25,Personnel!$A:$A,0)),"OK","ΠΟΛΛΑ ΣΚ")</f>
        <v/>
      </c>
    </row>
    <row r="26">
      <c r="A26" t="inlineStr">
        <is>
          <t>Στρατιώτης 025</t>
        </is>
      </c>
      <c r="B26">
        <f>SUM(D26:G26)</f>
        <v/>
      </c>
      <c r="C26">
        <f>COUNTIFS(Schedule!$A$4:$A$33,"Σάββατο",Schedule!$C$4:$C$33,$A26)+COUNTIFS(Schedule!$A$4:$A$33,"Σάββατο",Schedule!$D$4:$D$33,$A26)+COUNTIFS(Schedule!$A$4:$A$33,"Σάββατο",Schedule!$E$4:$E$33,$A26)+COUNTIFS(Schedule!$A$4:$A$33,"Σάββατο",Schedule!$G$4:$G$33,$A26)+COUNTIFS(Schedule!$A$4:$A$33,"Σάββατο",Schedule!$H$4:$H$33,$A26)+COUNTIFS(Schedule!$A$4:$A$33,"Σάββατο",Schedule!$I$4:$I$33,$A26)+COUNTIFS(Schedule!$A$4:$A$33,"Σάββατο",Schedule!$J$4:$J$33,$A26)+COUNTIFS(Schedule!$A$4:$A$33,"Σάββατο",Schedule!$K$4:$K$33,$A26)+COUNTIFS(Schedule!$A$4:$A$33,"Κυριακή",Schedule!$C$4:$C$33,$A26)+COUNTIFS(Schedule!$A$4:$A$33,"Κυριακή",Schedule!$D$4:$D$33,$A26)+COUNTIFS(Schedule!$A$4:$A$33,"Κυριακή",Schedule!$E$4:$E$33,$A26)+COUNTIFS(Schedule!$A$4:$A$33,"Κυριακή",Schedule!$G$4:$G$33,$A26)+COUNTIFS(Schedule!$A$4:$A$33,"Κυριακή",Schedule!$H$4:$H$33,$A26)+COUNTIFS(Schedule!$A$4:$A$33,"Κυριακή",Schedule!$I$4:$I$33,$A26)+COUNTIFS(Schedule!$A$4:$A$33,"Κυριακή",Schedule!$J$4:$J$33,$A26)+COUNTIFS(Schedule!$A$4:$A$33,"Κυριακή",Schedule!$K$4:$K$33,$A26)</f>
        <v/>
      </c>
      <c r="D26">
        <f>COUNTIF(Schedule!$C$4:$C$33,$A26)+COUNTIF(Schedule!$D$4:$D$33,$A26)+COUNTIF(Schedule!$E$4:$E$33,$A26)</f>
        <v/>
      </c>
      <c r="E26">
        <f>COUNTIF(Schedule!$G$4:$G$33,$A26)+COUNTIF(Schedule!$H$4:$H$33,$A26)</f>
        <v/>
      </c>
      <c r="F26">
        <f>COUNTIF(Schedule!$I$4:$I$33,$A26)+COUNTIF(Schedule!$J$4:$J$33,$A26)</f>
        <v/>
      </c>
      <c r="G26">
        <f>COUNTIF(Schedule!$K$4:$K$33,$A26)</f>
        <v/>
      </c>
      <c r="H26">
        <f>COUNTIF(Schedule!$L$4:$L$33,$A26)</f>
        <v/>
      </c>
      <c r="I26">
        <f>COUNTIF(Schedule!$M$4:$M$33,$A26)</f>
        <v/>
      </c>
      <c r="J26">
        <f>SUM(H26:I26)</f>
        <v/>
      </c>
      <c r="K26">
        <f>IF(B26&lt;=INDEX(Personnel!$M:$M,MATCH($A26,Personnel!$A:$A,0)),"OK","ΥΠΕΡΒΑΣΗ")</f>
        <v/>
      </c>
      <c r="L26">
        <f>IF(C26&lt;=INDEX(Personnel!$N:$N,MATCH($A26,Personnel!$A:$A,0)),"OK","ΠΟΛΛΑ ΣΚ")</f>
        <v/>
      </c>
    </row>
    <row r="27">
      <c r="A27" t="inlineStr">
        <is>
          <t>Στρατιώτης 026</t>
        </is>
      </c>
      <c r="B27">
        <f>SUM(D27:G27)</f>
        <v/>
      </c>
      <c r="C27">
        <f>COUNTIFS(Schedule!$A$4:$A$33,"Σάββατο",Schedule!$C$4:$C$33,$A27)+COUNTIFS(Schedule!$A$4:$A$33,"Σάββατο",Schedule!$D$4:$D$33,$A27)+COUNTIFS(Schedule!$A$4:$A$33,"Σάββατο",Schedule!$E$4:$E$33,$A27)+COUNTIFS(Schedule!$A$4:$A$33,"Σάββατο",Schedule!$G$4:$G$33,$A27)+COUNTIFS(Schedule!$A$4:$A$33,"Σάββατο",Schedule!$H$4:$H$33,$A27)+COUNTIFS(Schedule!$A$4:$A$33,"Σάββατο",Schedule!$I$4:$I$33,$A27)+COUNTIFS(Schedule!$A$4:$A$33,"Σάββατο",Schedule!$J$4:$J$33,$A27)+COUNTIFS(Schedule!$A$4:$A$33,"Σάββατο",Schedule!$K$4:$K$33,$A27)+COUNTIFS(Schedule!$A$4:$A$33,"Κυριακή",Schedule!$C$4:$C$33,$A27)+COUNTIFS(Schedule!$A$4:$A$33,"Κυριακή",Schedule!$D$4:$D$33,$A27)+COUNTIFS(Schedule!$A$4:$A$33,"Κυριακή",Schedule!$E$4:$E$33,$A27)+COUNTIFS(Schedule!$A$4:$A$33,"Κυριακή",Schedule!$G$4:$G$33,$A27)+COUNTIFS(Schedule!$A$4:$A$33,"Κυριακή",Schedule!$H$4:$H$33,$A27)+COUNTIFS(Schedule!$A$4:$A$33,"Κυριακή",Schedule!$I$4:$I$33,$A27)+COUNTIFS(Schedule!$A$4:$A$33,"Κυριακή",Schedule!$J$4:$J$33,$A27)+COUNTIFS(Schedule!$A$4:$A$33,"Κυριακή",Schedule!$K$4:$K$33,$A27)</f>
        <v/>
      </c>
      <c r="D27">
        <f>COUNTIF(Schedule!$C$4:$C$33,$A27)+COUNTIF(Schedule!$D$4:$D$33,$A27)+COUNTIF(Schedule!$E$4:$E$33,$A27)</f>
        <v/>
      </c>
      <c r="E27">
        <f>COUNTIF(Schedule!$G$4:$G$33,$A27)+COUNTIF(Schedule!$H$4:$H$33,$A27)</f>
        <v/>
      </c>
      <c r="F27">
        <f>COUNTIF(Schedule!$I$4:$I$33,$A27)+COUNTIF(Schedule!$J$4:$J$33,$A27)</f>
        <v/>
      </c>
      <c r="G27">
        <f>COUNTIF(Schedule!$K$4:$K$33,$A27)</f>
        <v/>
      </c>
      <c r="H27">
        <f>COUNTIF(Schedule!$L$4:$L$33,$A27)</f>
        <v/>
      </c>
      <c r="I27">
        <f>COUNTIF(Schedule!$M$4:$M$33,$A27)</f>
        <v/>
      </c>
      <c r="J27">
        <f>SUM(H27:I27)</f>
        <v/>
      </c>
      <c r="K27">
        <f>IF(B27&lt;=INDEX(Personnel!$M:$M,MATCH($A27,Personnel!$A:$A,0)),"OK","ΥΠΕΡΒΑΣΗ")</f>
        <v/>
      </c>
      <c r="L27">
        <f>IF(C27&lt;=INDEX(Personnel!$N:$N,MATCH($A27,Personnel!$A:$A,0)),"OK","ΠΟΛΛΑ ΣΚ")</f>
        <v/>
      </c>
    </row>
    <row r="28">
      <c r="A28" t="inlineStr">
        <is>
          <t>Στρατιώτης 027</t>
        </is>
      </c>
      <c r="B28">
        <f>SUM(D28:G28)</f>
        <v/>
      </c>
      <c r="C28">
        <f>COUNTIFS(Schedule!$A$4:$A$33,"Σάββατο",Schedule!$C$4:$C$33,$A28)+COUNTIFS(Schedule!$A$4:$A$33,"Σάββατο",Schedule!$D$4:$D$33,$A28)+COUNTIFS(Schedule!$A$4:$A$33,"Σάββατο",Schedule!$E$4:$E$33,$A28)+COUNTIFS(Schedule!$A$4:$A$33,"Σάββατο",Schedule!$G$4:$G$33,$A28)+COUNTIFS(Schedule!$A$4:$A$33,"Σάββατο",Schedule!$H$4:$H$33,$A28)+COUNTIFS(Schedule!$A$4:$A$33,"Σάββατο",Schedule!$I$4:$I$33,$A28)+COUNTIFS(Schedule!$A$4:$A$33,"Σάββατο",Schedule!$J$4:$J$33,$A28)+COUNTIFS(Schedule!$A$4:$A$33,"Σάββατο",Schedule!$K$4:$K$33,$A28)+COUNTIFS(Schedule!$A$4:$A$33,"Κυριακή",Schedule!$C$4:$C$33,$A28)+COUNTIFS(Schedule!$A$4:$A$33,"Κυριακή",Schedule!$D$4:$D$33,$A28)+COUNTIFS(Schedule!$A$4:$A$33,"Κυριακή",Schedule!$E$4:$E$33,$A28)+COUNTIFS(Schedule!$A$4:$A$33,"Κυριακή",Schedule!$G$4:$G$33,$A28)+COUNTIFS(Schedule!$A$4:$A$33,"Κυριακή",Schedule!$H$4:$H$33,$A28)+COUNTIFS(Schedule!$A$4:$A$33,"Κυριακή",Schedule!$I$4:$I$33,$A28)+COUNTIFS(Schedule!$A$4:$A$33,"Κυριακή",Schedule!$J$4:$J$33,$A28)+COUNTIFS(Schedule!$A$4:$A$33,"Κυριακή",Schedule!$K$4:$K$33,$A28)</f>
        <v/>
      </c>
      <c r="D28">
        <f>COUNTIF(Schedule!$C$4:$C$33,$A28)+COUNTIF(Schedule!$D$4:$D$33,$A28)+COUNTIF(Schedule!$E$4:$E$33,$A28)</f>
        <v/>
      </c>
      <c r="E28">
        <f>COUNTIF(Schedule!$G$4:$G$33,$A28)+COUNTIF(Schedule!$H$4:$H$33,$A28)</f>
        <v/>
      </c>
      <c r="F28">
        <f>COUNTIF(Schedule!$I$4:$I$33,$A28)+COUNTIF(Schedule!$J$4:$J$33,$A28)</f>
        <v/>
      </c>
      <c r="G28">
        <f>COUNTIF(Schedule!$K$4:$K$33,$A28)</f>
        <v/>
      </c>
      <c r="H28">
        <f>COUNTIF(Schedule!$L$4:$L$33,$A28)</f>
        <v/>
      </c>
      <c r="I28">
        <f>COUNTIF(Schedule!$M$4:$M$33,$A28)</f>
        <v/>
      </c>
      <c r="J28">
        <f>SUM(H28:I28)</f>
        <v/>
      </c>
      <c r="K28">
        <f>IF(B28&lt;=INDEX(Personnel!$M:$M,MATCH($A28,Personnel!$A:$A,0)),"OK","ΥΠΕΡΒΑΣΗ")</f>
        <v/>
      </c>
      <c r="L28">
        <f>IF(C28&lt;=INDEX(Personnel!$N:$N,MATCH($A28,Personnel!$A:$A,0)),"OK","ΠΟΛΛΑ ΣΚ")</f>
        <v/>
      </c>
    </row>
    <row r="29">
      <c r="A29" t="inlineStr">
        <is>
          <t>Στρατιώτης 028</t>
        </is>
      </c>
      <c r="B29">
        <f>SUM(D29:G29)</f>
        <v/>
      </c>
      <c r="C29">
        <f>COUNTIFS(Schedule!$A$4:$A$33,"Σάββατο",Schedule!$C$4:$C$33,$A29)+COUNTIFS(Schedule!$A$4:$A$33,"Σάββατο",Schedule!$D$4:$D$33,$A29)+COUNTIFS(Schedule!$A$4:$A$33,"Σάββατο",Schedule!$E$4:$E$33,$A29)+COUNTIFS(Schedule!$A$4:$A$33,"Σάββατο",Schedule!$G$4:$G$33,$A29)+COUNTIFS(Schedule!$A$4:$A$33,"Σάββατο",Schedule!$H$4:$H$33,$A29)+COUNTIFS(Schedule!$A$4:$A$33,"Σάββατο",Schedule!$I$4:$I$33,$A29)+COUNTIFS(Schedule!$A$4:$A$33,"Σάββατο",Schedule!$J$4:$J$33,$A29)+COUNTIFS(Schedule!$A$4:$A$33,"Σάββατο",Schedule!$K$4:$K$33,$A29)+COUNTIFS(Schedule!$A$4:$A$33,"Κυριακή",Schedule!$C$4:$C$33,$A29)+COUNTIFS(Schedule!$A$4:$A$33,"Κυριακή",Schedule!$D$4:$D$33,$A29)+COUNTIFS(Schedule!$A$4:$A$33,"Κυριακή",Schedule!$E$4:$E$33,$A29)+COUNTIFS(Schedule!$A$4:$A$33,"Κυριακή",Schedule!$G$4:$G$33,$A29)+COUNTIFS(Schedule!$A$4:$A$33,"Κυριακή",Schedule!$H$4:$H$33,$A29)+COUNTIFS(Schedule!$A$4:$A$33,"Κυριακή",Schedule!$I$4:$I$33,$A29)+COUNTIFS(Schedule!$A$4:$A$33,"Κυριακή",Schedule!$J$4:$J$33,$A29)+COUNTIFS(Schedule!$A$4:$A$33,"Κυριακή",Schedule!$K$4:$K$33,$A29)</f>
        <v/>
      </c>
      <c r="D29">
        <f>COUNTIF(Schedule!$C$4:$C$33,$A29)+COUNTIF(Schedule!$D$4:$D$33,$A29)+COUNTIF(Schedule!$E$4:$E$33,$A29)</f>
        <v/>
      </c>
      <c r="E29">
        <f>COUNTIF(Schedule!$G$4:$G$33,$A29)+COUNTIF(Schedule!$H$4:$H$33,$A29)</f>
        <v/>
      </c>
      <c r="F29">
        <f>COUNTIF(Schedule!$I$4:$I$33,$A29)+COUNTIF(Schedule!$J$4:$J$33,$A29)</f>
        <v/>
      </c>
      <c r="G29">
        <f>COUNTIF(Schedule!$K$4:$K$33,$A29)</f>
        <v/>
      </c>
      <c r="H29">
        <f>COUNTIF(Schedule!$L$4:$L$33,$A29)</f>
        <v/>
      </c>
      <c r="I29">
        <f>COUNTIF(Schedule!$M$4:$M$33,$A29)</f>
        <v/>
      </c>
      <c r="J29">
        <f>SUM(H29:I29)</f>
        <v/>
      </c>
      <c r="K29">
        <f>IF(B29&lt;=INDEX(Personnel!$M:$M,MATCH($A29,Personnel!$A:$A,0)),"OK","ΥΠΕΡΒΑΣΗ")</f>
        <v/>
      </c>
      <c r="L29">
        <f>IF(C29&lt;=INDEX(Personnel!$N:$N,MATCH($A29,Personnel!$A:$A,0)),"OK","ΠΟΛΛΑ ΣΚ")</f>
        <v/>
      </c>
    </row>
    <row r="30">
      <c r="A30" t="inlineStr">
        <is>
          <t>Στρατιώτης 029</t>
        </is>
      </c>
      <c r="B30">
        <f>SUM(D30:G30)</f>
        <v/>
      </c>
      <c r="C30">
        <f>COUNTIFS(Schedule!$A$4:$A$33,"Σάββατο",Schedule!$C$4:$C$33,$A30)+COUNTIFS(Schedule!$A$4:$A$33,"Σάββατο",Schedule!$D$4:$D$33,$A30)+COUNTIFS(Schedule!$A$4:$A$33,"Σάββατο",Schedule!$E$4:$E$33,$A30)+COUNTIFS(Schedule!$A$4:$A$33,"Σάββατο",Schedule!$G$4:$G$33,$A30)+COUNTIFS(Schedule!$A$4:$A$33,"Σάββατο",Schedule!$H$4:$H$33,$A30)+COUNTIFS(Schedule!$A$4:$A$33,"Σάββατο",Schedule!$I$4:$I$33,$A30)+COUNTIFS(Schedule!$A$4:$A$33,"Σάββατο",Schedule!$J$4:$J$33,$A30)+COUNTIFS(Schedule!$A$4:$A$33,"Σάββατο",Schedule!$K$4:$K$33,$A30)+COUNTIFS(Schedule!$A$4:$A$33,"Κυριακή",Schedule!$C$4:$C$33,$A30)+COUNTIFS(Schedule!$A$4:$A$33,"Κυριακή",Schedule!$D$4:$D$33,$A30)+COUNTIFS(Schedule!$A$4:$A$33,"Κυριακή",Schedule!$E$4:$E$33,$A30)+COUNTIFS(Schedule!$A$4:$A$33,"Κυριακή",Schedule!$G$4:$G$33,$A30)+COUNTIFS(Schedule!$A$4:$A$33,"Κυριακή",Schedule!$H$4:$H$33,$A30)+COUNTIFS(Schedule!$A$4:$A$33,"Κυριακή",Schedule!$I$4:$I$33,$A30)+COUNTIFS(Schedule!$A$4:$A$33,"Κυριακή",Schedule!$J$4:$J$33,$A30)+COUNTIFS(Schedule!$A$4:$A$33,"Κυριακή",Schedule!$K$4:$K$33,$A30)</f>
        <v/>
      </c>
      <c r="D30">
        <f>COUNTIF(Schedule!$C$4:$C$33,$A30)+COUNTIF(Schedule!$D$4:$D$33,$A30)+COUNTIF(Schedule!$E$4:$E$33,$A30)</f>
        <v/>
      </c>
      <c r="E30">
        <f>COUNTIF(Schedule!$G$4:$G$33,$A30)+COUNTIF(Schedule!$H$4:$H$33,$A30)</f>
        <v/>
      </c>
      <c r="F30">
        <f>COUNTIF(Schedule!$I$4:$I$33,$A30)+COUNTIF(Schedule!$J$4:$J$33,$A30)</f>
        <v/>
      </c>
      <c r="G30">
        <f>COUNTIF(Schedule!$K$4:$K$33,$A30)</f>
        <v/>
      </c>
      <c r="H30">
        <f>COUNTIF(Schedule!$L$4:$L$33,$A30)</f>
        <v/>
      </c>
      <c r="I30">
        <f>COUNTIF(Schedule!$M$4:$M$33,$A30)</f>
        <v/>
      </c>
      <c r="J30">
        <f>SUM(H30:I30)</f>
        <v/>
      </c>
      <c r="K30">
        <f>IF(B30&lt;=INDEX(Personnel!$M:$M,MATCH($A30,Personnel!$A:$A,0)),"OK","ΥΠΕΡΒΑΣΗ")</f>
        <v/>
      </c>
      <c r="L30">
        <f>IF(C30&lt;=INDEX(Personnel!$N:$N,MATCH($A30,Personnel!$A:$A,0)),"OK","ΠΟΛΛΑ ΣΚ")</f>
        <v/>
      </c>
    </row>
    <row r="31">
      <c r="A31" t="inlineStr">
        <is>
          <t>Στρατιώτης 030</t>
        </is>
      </c>
      <c r="B31">
        <f>SUM(D31:G31)</f>
        <v/>
      </c>
      <c r="C31">
        <f>COUNTIFS(Schedule!$A$4:$A$33,"Σάββατο",Schedule!$C$4:$C$33,$A31)+COUNTIFS(Schedule!$A$4:$A$33,"Σάββατο",Schedule!$D$4:$D$33,$A31)+COUNTIFS(Schedule!$A$4:$A$33,"Σάββατο",Schedule!$E$4:$E$33,$A31)+COUNTIFS(Schedule!$A$4:$A$33,"Σάββατο",Schedule!$G$4:$G$33,$A31)+COUNTIFS(Schedule!$A$4:$A$33,"Σάββατο",Schedule!$H$4:$H$33,$A31)+COUNTIFS(Schedule!$A$4:$A$33,"Σάββατο",Schedule!$I$4:$I$33,$A31)+COUNTIFS(Schedule!$A$4:$A$33,"Σάββατο",Schedule!$J$4:$J$33,$A31)+COUNTIFS(Schedule!$A$4:$A$33,"Σάββατο",Schedule!$K$4:$K$33,$A31)+COUNTIFS(Schedule!$A$4:$A$33,"Κυριακή",Schedule!$C$4:$C$33,$A31)+COUNTIFS(Schedule!$A$4:$A$33,"Κυριακή",Schedule!$D$4:$D$33,$A31)+COUNTIFS(Schedule!$A$4:$A$33,"Κυριακή",Schedule!$E$4:$E$33,$A31)+COUNTIFS(Schedule!$A$4:$A$33,"Κυριακή",Schedule!$G$4:$G$33,$A31)+COUNTIFS(Schedule!$A$4:$A$33,"Κυριακή",Schedule!$H$4:$H$33,$A31)+COUNTIFS(Schedule!$A$4:$A$33,"Κυριακή",Schedule!$I$4:$I$33,$A31)+COUNTIFS(Schedule!$A$4:$A$33,"Κυριακή",Schedule!$J$4:$J$33,$A31)+COUNTIFS(Schedule!$A$4:$A$33,"Κυριακή",Schedule!$K$4:$K$33,$A31)</f>
        <v/>
      </c>
      <c r="D31">
        <f>COUNTIF(Schedule!$C$4:$C$33,$A31)+COUNTIF(Schedule!$D$4:$D$33,$A31)+COUNTIF(Schedule!$E$4:$E$33,$A31)</f>
        <v/>
      </c>
      <c r="E31">
        <f>COUNTIF(Schedule!$G$4:$G$33,$A31)+COUNTIF(Schedule!$H$4:$H$33,$A31)</f>
        <v/>
      </c>
      <c r="F31">
        <f>COUNTIF(Schedule!$I$4:$I$33,$A31)+COUNTIF(Schedule!$J$4:$J$33,$A31)</f>
        <v/>
      </c>
      <c r="G31">
        <f>COUNTIF(Schedule!$K$4:$K$33,$A31)</f>
        <v/>
      </c>
      <c r="H31">
        <f>COUNTIF(Schedule!$L$4:$L$33,$A31)</f>
        <v/>
      </c>
      <c r="I31">
        <f>COUNTIF(Schedule!$M$4:$M$33,$A31)</f>
        <v/>
      </c>
      <c r="J31">
        <f>SUM(H31:I31)</f>
        <v/>
      </c>
      <c r="K31">
        <f>IF(B31&lt;=INDEX(Personnel!$M:$M,MATCH($A31,Personnel!$A:$A,0)),"OK","ΥΠΕΡΒΑΣΗ")</f>
        <v/>
      </c>
      <c r="L31">
        <f>IF(C31&lt;=INDEX(Personnel!$N:$N,MATCH($A31,Personnel!$A:$A,0)),"OK","ΠΟΛΛΑ ΣΚ")</f>
        <v/>
      </c>
    </row>
    <row r="32">
      <c r="A32" t="inlineStr">
        <is>
          <t>Στρατιώτης 031</t>
        </is>
      </c>
      <c r="B32">
        <f>SUM(D32:G32)</f>
        <v/>
      </c>
      <c r="C32">
        <f>COUNTIFS(Schedule!$A$4:$A$33,"Σάββατο",Schedule!$C$4:$C$33,$A32)+COUNTIFS(Schedule!$A$4:$A$33,"Σάββατο",Schedule!$D$4:$D$33,$A32)+COUNTIFS(Schedule!$A$4:$A$33,"Σάββατο",Schedule!$E$4:$E$33,$A32)+COUNTIFS(Schedule!$A$4:$A$33,"Σάββατο",Schedule!$G$4:$G$33,$A32)+COUNTIFS(Schedule!$A$4:$A$33,"Σάββατο",Schedule!$H$4:$H$33,$A32)+COUNTIFS(Schedule!$A$4:$A$33,"Σάββατο",Schedule!$I$4:$I$33,$A32)+COUNTIFS(Schedule!$A$4:$A$33,"Σάββατο",Schedule!$J$4:$J$33,$A32)+COUNTIFS(Schedule!$A$4:$A$33,"Σάββατο",Schedule!$K$4:$K$33,$A32)+COUNTIFS(Schedule!$A$4:$A$33,"Κυριακή",Schedule!$C$4:$C$33,$A32)+COUNTIFS(Schedule!$A$4:$A$33,"Κυριακή",Schedule!$D$4:$D$33,$A32)+COUNTIFS(Schedule!$A$4:$A$33,"Κυριακή",Schedule!$E$4:$E$33,$A32)+COUNTIFS(Schedule!$A$4:$A$33,"Κυριακή",Schedule!$G$4:$G$33,$A32)+COUNTIFS(Schedule!$A$4:$A$33,"Κυριακή",Schedule!$H$4:$H$33,$A32)+COUNTIFS(Schedule!$A$4:$A$33,"Κυριακή",Schedule!$I$4:$I$33,$A32)+COUNTIFS(Schedule!$A$4:$A$33,"Κυριακή",Schedule!$J$4:$J$33,$A32)+COUNTIFS(Schedule!$A$4:$A$33,"Κυριακή",Schedule!$K$4:$K$33,$A32)</f>
        <v/>
      </c>
      <c r="D32">
        <f>COUNTIF(Schedule!$C$4:$C$33,$A32)+COUNTIF(Schedule!$D$4:$D$33,$A32)+COUNTIF(Schedule!$E$4:$E$33,$A32)</f>
        <v/>
      </c>
      <c r="E32">
        <f>COUNTIF(Schedule!$G$4:$G$33,$A32)+COUNTIF(Schedule!$H$4:$H$33,$A32)</f>
        <v/>
      </c>
      <c r="F32">
        <f>COUNTIF(Schedule!$I$4:$I$33,$A32)+COUNTIF(Schedule!$J$4:$J$33,$A32)</f>
        <v/>
      </c>
      <c r="G32">
        <f>COUNTIF(Schedule!$K$4:$K$33,$A32)</f>
        <v/>
      </c>
      <c r="H32">
        <f>COUNTIF(Schedule!$L$4:$L$33,$A32)</f>
        <v/>
      </c>
      <c r="I32">
        <f>COUNTIF(Schedule!$M$4:$M$33,$A32)</f>
        <v/>
      </c>
      <c r="J32">
        <f>SUM(H32:I32)</f>
        <v/>
      </c>
      <c r="K32">
        <f>IF(B32&lt;=INDEX(Personnel!$M:$M,MATCH($A32,Personnel!$A:$A,0)),"OK","ΥΠΕΡΒΑΣΗ")</f>
        <v/>
      </c>
      <c r="L32">
        <f>IF(C32&lt;=INDEX(Personnel!$N:$N,MATCH($A32,Personnel!$A:$A,0)),"OK","ΠΟΛΛΑ ΣΚ")</f>
        <v/>
      </c>
    </row>
    <row r="33">
      <c r="A33" t="inlineStr">
        <is>
          <t>Στρατιώτης 032</t>
        </is>
      </c>
      <c r="B33">
        <f>SUM(D33:G33)</f>
        <v/>
      </c>
      <c r="C33">
        <f>COUNTIFS(Schedule!$A$4:$A$33,"Σάββατο",Schedule!$C$4:$C$33,$A33)+COUNTIFS(Schedule!$A$4:$A$33,"Σάββατο",Schedule!$D$4:$D$33,$A33)+COUNTIFS(Schedule!$A$4:$A$33,"Σάββατο",Schedule!$E$4:$E$33,$A33)+COUNTIFS(Schedule!$A$4:$A$33,"Σάββατο",Schedule!$G$4:$G$33,$A33)+COUNTIFS(Schedule!$A$4:$A$33,"Σάββατο",Schedule!$H$4:$H$33,$A33)+COUNTIFS(Schedule!$A$4:$A$33,"Σάββατο",Schedule!$I$4:$I$33,$A33)+COUNTIFS(Schedule!$A$4:$A$33,"Σάββατο",Schedule!$J$4:$J$33,$A33)+COUNTIFS(Schedule!$A$4:$A$33,"Σάββατο",Schedule!$K$4:$K$33,$A33)+COUNTIFS(Schedule!$A$4:$A$33,"Κυριακή",Schedule!$C$4:$C$33,$A33)+COUNTIFS(Schedule!$A$4:$A$33,"Κυριακή",Schedule!$D$4:$D$33,$A33)+COUNTIFS(Schedule!$A$4:$A$33,"Κυριακή",Schedule!$E$4:$E$33,$A33)+COUNTIFS(Schedule!$A$4:$A$33,"Κυριακή",Schedule!$G$4:$G$33,$A33)+COUNTIFS(Schedule!$A$4:$A$33,"Κυριακή",Schedule!$H$4:$H$33,$A33)+COUNTIFS(Schedule!$A$4:$A$33,"Κυριακή",Schedule!$I$4:$I$33,$A33)+COUNTIFS(Schedule!$A$4:$A$33,"Κυριακή",Schedule!$J$4:$J$33,$A33)+COUNTIFS(Schedule!$A$4:$A$33,"Κυριακή",Schedule!$K$4:$K$33,$A33)</f>
        <v/>
      </c>
      <c r="D33">
        <f>COUNTIF(Schedule!$C$4:$C$33,$A33)+COUNTIF(Schedule!$D$4:$D$33,$A33)+COUNTIF(Schedule!$E$4:$E$33,$A33)</f>
        <v/>
      </c>
      <c r="E33">
        <f>COUNTIF(Schedule!$G$4:$G$33,$A33)+COUNTIF(Schedule!$H$4:$H$33,$A33)</f>
        <v/>
      </c>
      <c r="F33">
        <f>COUNTIF(Schedule!$I$4:$I$33,$A33)+COUNTIF(Schedule!$J$4:$J$33,$A33)</f>
        <v/>
      </c>
      <c r="G33">
        <f>COUNTIF(Schedule!$K$4:$K$33,$A33)</f>
        <v/>
      </c>
      <c r="H33">
        <f>COUNTIF(Schedule!$L$4:$L$33,$A33)</f>
        <v/>
      </c>
      <c r="I33">
        <f>COUNTIF(Schedule!$M$4:$M$33,$A33)</f>
        <v/>
      </c>
      <c r="J33">
        <f>SUM(H33:I33)</f>
        <v/>
      </c>
      <c r="K33">
        <f>IF(B33&lt;=INDEX(Personnel!$M:$M,MATCH($A33,Personnel!$A:$A,0)),"OK","ΥΠΕΡΒΑΣΗ")</f>
        <v/>
      </c>
      <c r="L33">
        <f>IF(C33&lt;=INDEX(Personnel!$N:$N,MATCH($A33,Personnel!$A:$A,0)),"OK","ΠΟΛΛΑ ΣΚ")</f>
        <v/>
      </c>
    </row>
    <row r="34">
      <c r="A34" t="inlineStr">
        <is>
          <t>Στρατιώτης 033</t>
        </is>
      </c>
      <c r="B34">
        <f>SUM(D34:G34)</f>
        <v/>
      </c>
      <c r="C34">
        <f>COUNTIFS(Schedule!$A$4:$A$33,"Σάββατο",Schedule!$C$4:$C$33,$A34)+COUNTIFS(Schedule!$A$4:$A$33,"Σάββατο",Schedule!$D$4:$D$33,$A34)+COUNTIFS(Schedule!$A$4:$A$33,"Σάββατο",Schedule!$E$4:$E$33,$A34)+COUNTIFS(Schedule!$A$4:$A$33,"Σάββατο",Schedule!$G$4:$G$33,$A34)+COUNTIFS(Schedule!$A$4:$A$33,"Σάββατο",Schedule!$H$4:$H$33,$A34)+COUNTIFS(Schedule!$A$4:$A$33,"Σάββατο",Schedule!$I$4:$I$33,$A34)+COUNTIFS(Schedule!$A$4:$A$33,"Σάββατο",Schedule!$J$4:$J$33,$A34)+COUNTIFS(Schedule!$A$4:$A$33,"Σάββατο",Schedule!$K$4:$K$33,$A34)+COUNTIFS(Schedule!$A$4:$A$33,"Κυριακή",Schedule!$C$4:$C$33,$A34)+COUNTIFS(Schedule!$A$4:$A$33,"Κυριακή",Schedule!$D$4:$D$33,$A34)+COUNTIFS(Schedule!$A$4:$A$33,"Κυριακή",Schedule!$E$4:$E$33,$A34)+COUNTIFS(Schedule!$A$4:$A$33,"Κυριακή",Schedule!$G$4:$G$33,$A34)+COUNTIFS(Schedule!$A$4:$A$33,"Κυριακή",Schedule!$H$4:$H$33,$A34)+COUNTIFS(Schedule!$A$4:$A$33,"Κυριακή",Schedule!$I$4:$I$33,$A34)+COUNTIFS(Schedule!$A$4:$A$33,"Κυριακή",Schedule!$J$4:$J$33,$A34)+COUNTIFS(Schedule!$A$4:$A$33,"Κυριακή",Schedule!$K$4:$K$33,$A34)</f>
        <v/>
      </c>
      <c r="D34">
        <f>COUNTIF(Schedule!$C$4:$C$33,$A34)+COUNTIF(Schedule!$D$4:$D$33,$A34)+COUNTIF(Schedule!$E$4:$E$33,$A34)</f>
        <v/>
      </c>
      <c r="E34">
        <f>COUNTIF(Schedule!$G$4:$G$33,$A34)+COUNTIF(Schedule!$H$4:$H$33,$A34)</f>
        <v/>
      </c>
      <c r="F34">
        <f>COUNTIF(Schedule!$I$4:$I$33,$A34)+COUNTIF(Schedule!$J$4:$J$33,$A34)</f>
        <v/>
      </c>
      <c r="G34">
        <f>COUNTIF(Schedule!$K$4:$K$33,$A34)</f>
        <v/>
      </c>
      <c r="H34">
        <f>COUNTIF(Schedule!$L$4:$L$33,$A34)</f>
        <v/>
      </c>
      <c r="I34">
        <f>COUNTIF(Schedule!$M$4:$M$33,$A34)</f>
        <v/>
      </c>
      <c r="J34">
        <f>SUM(H34:I34)</f>
        <v/>
      </c>
      <c r="K34">
        <f>IF(B34&lt;=INDEX(Personnel!$M:$M,MATCH($A34,Personnel!$A:$A,0)),"OK","ΥΠΕΡΒΑΣΗ")</f>
        <v/>
      </c>
      <c r="L34">
        <f>IF(C34&lt;=INDEX(Personnel!$N:$N,MATCH($A34,Personnel!$A:$A,0)),"OK","ΠΟΛΛΑ ΣΚ")</f>
        <v/>
      </c>
    </row>
    <row r="35">
      <c r="A35" t="inlineStr">
        <is>
          <t>Στρατιώτης 034</t>
        </is>
      </c>
      <c r="B35">
        <f>SUM(D35:G35)</f>
        <v/>
      </c>
      <c r="C35">
        <f>COUNTIFS(Schedule!$A$4:$A$33,"Σάββατο",Schedule!$C$4:$C$33,$A35)+COUNTIFS(Schedule!$A$4:$A$33,"Σάββατο",Schedule!$D$4:$D$33,$A35)+COUNTIFS(Schedule!$A$4:$A$33,"Σάββατο",Schedule!$E$4:$E$33,$A35)+COUNTIFS(Schedule!$A$4:$A$33,"Σάββατο",Schedule!$G$4:$G$33,$A35)+COUNTIFS(Schedule!$A$4:$A$33,"Σάββατο",Schedule!$H$4:$H$33,$A35)+COUNTIFS(Schedule!$A$4:$A$33,"Σάββατο",Schedule!$I$4:$I$33,$A35)+COUNTIFS(Schedule!$A$4:$A$33,"Σάββατο",Schedule!$J$4:$J$33,$A35)+COUNTIFS(Schedule!$A$4:$A$33,"Σάββατο",Schedule!$K$4:$K$33,$A35)+COUNTIFS(Schedule!$A$4:$A$33,"Κυριακή",Schedule!$C$4:$C$33,$A35)+COUNTIFS(Schedule!$A$4:$A$33,"Κυριακή",Schedule!$D$4:$D$33,$A35)+COUNTIFS(Schedule!$A$4:$A$33,"Κυριακή",Schedule!$E$4:$E$33,$A35)+COUNTIFS(Schedule!$A$4:$A$33,"Κυριακή",Schedule!$G$4:$G$33,$A35)+COUNTIFS(Schedule!$A$4:$A$33,"Κυριακή",Schedule!$H$4:$H$33,$A35)+COUNTIFS(Schedule!$A$4:$A$33,"Κυριακή",Schedule!$I$4:$I$33,$A35)+COUNTIFS(Schedule!$A$4:$A$33,"Κυριακή",Schedule!$J$4:$J$33,$A35)+COUNTIFS(Schedule!$A$4:$A$33,"Κυριακή",Schedule!$K$4:$K$33,$A35)</f>
        <v/>
      </c>
      <c r="D35">
        <f>COUNTIF(Schedule!$C$4:$C$33,$A35)+COUNTIF(Schedule!$D$4:$D$33,$A35)+COUNTIF(Schedule!$E$4:$E$33,$A35)</f>
        <v/>
      </c>
      <c r="E35">
        <f>COUNTIF(Schedule!$G$4:$G$33,$A35)+COUNTIF(Schedule!$H$4:$H$33,$A35)</f>
        <v/>
      </c>
      <c r="F35">
        <f>COUNTIF(Schedule!$I$4:$I$33,$A35)+COUNTIF(Schedule!$J$4:$J$33,$A35)</f>
        <v/>
      </c>
      <c r="G35">
        <f>COUNTIF(Schedule!$K$4:$K$33,$A35)</f>
        <v/>
      </c>
      <c r="H35">
        <f>COUNTIF(Schedule!$L$4:$L$33,$A35)</f>
        <v/>
      </c>
      <c r="I35">
        <f>COUNTIF(Schedule!$M$4:$M$33,$A35)</f>
        <v/>
      </c>
      <c r="J35">
        <f>SUM(H35:I35)</f>
        <v/>
      </c>
      <c r="K35">
        <f>IF(B35&lt;=INDEX(Personnel!$M:$M,MATCH($A35,Personnel!$A:$A,0)),"OK","ΥΠΕΡΒΑΣΗ")</f>
        <v/>
      </c>
      <c r="L35">
        <f>IF(C35&lt;=INDEX(Personnel!$N:$N,MATCH($A35,Personnel!$A:$A,0)),"OK","ΠΟΛΛΑ ΣΚ")</f>
        <v/>
      </c>
    </row>
    <row r="36">
      <c r="A36" t="inlineStr">
        <is>
          <t>Στρατιώτης 035</t>
        </is>
      </c>
      <c r="B36">
        <f>SUM(D36:G36)</f>
        <v/>
      </c>
      <c r="C36">
        <f>COUNTIFS(Schedule!$A$4:$A$33,"Σάββατο",Schedule!$C$4:$C$33,$A36)+COUNTIFS(Schedule!$A$4:$A$33,"Σάββατο",Schedule!$D$4:$D$33,$A36)+COUNTIFS(Schedule!$A$4:$A$33,"Σάββατο",Schedule!$E$4:$E$33,$A36)+COUNTIFS(Schedule!$A$4:$A$33,"Σάββατο",Schedule!$G$4:$G$33,$A36)+COUNTIFS(Schedule!$A$4:$A$33,"Σάββατο",Schedule!$H$4:$H$33,$A36)+COUNTIFS(Schedule!$A$4:$A$33,"Σάββατο",Schedule!$I$4:$I$33,$A36)+COUNTIFS(Schedule!$A$4:$A$33,"Σάββατο",Schedule!$J$4:$J$33,$A36)+COUNTIFS(Schedule!$A$4:$A$33,"Σάββατο",Schedule!$K$4:$K$33,$A36)+COUNTIFS(Schedule!$A$4:$A$33,"Κυριακή",Schedule!$C$4:$C$33,$A36)+COUNTIFS(Schedule!$A$4:$A$33,"Κυριακή",Schedule!$D$4:$D$33,$A36)+COUNTIFS(Schedule!$A$4:$A$33,"Κυριακή",Schedule!$E$4:$E$33,$A36)+COUNTIFS(Schedule!$A$4:$A$33,"Κυριακή",Schedule!$G$4:$G$33,$A36)+COUNTIFS(Schedule!$A$4:$A$33,"Κυριακή",Schedule!$H$4:$H$33,$A36)+COUNTIFS(Schedule!$A$4:$A$33,"Κυριακή",Schedule!$I$4:$I$33,$A36)+COUNTIFS(Schedule!$A$4:$A$33,"Κυριακή",Schedule!$J$4:$J$33,$A36)+COUNTIFS(Schedule!$A$4:$A$33,"Κυριακή",Schedule!$K$4:$K$33,$A36)</f>
        <v/>
      </c>
      <c r="D36">
        <f>COUNTIF(Schedule!$C$4:$C$33,$A36)+COUNTIF(Schedule!$D$4:$D$33,$A36)+COUNTIF(Schedule!$E$4:$E$33,$A36)</f>
        <v/>
      </c>
      <c r="E36">
        <f>COUNTIF(Schedule!$G$4:$G$33,$A36)+COUNTIF(Schedule!$H$4:$H$33,$A36)</f>
        <v/>
      </c>
      <c r="F36">
        <f>COUNTIF(Schedule!$I$4:$I$33,$A36)+COUNTIF(Schedule!$J$4:$J$33,$A36)</f>
        <v/>
      </c>
      <c r="G36">
        <f>COUNTIF(Schedule!$K$4:$K$33,$A36)</f>
        <v/>
      </c>
      <c r="H36">
        <f>COUNTIF(Schedule!$L$4:$L$33,$A36)</f>
        <v/>
      </c>
      <c r="I36">
        <f>COUNTIF(Schedule!$M$4:$M$33,$A36)</f>
        <v/>
      </c>
      <c r="J36">
        <f>SUM(H36:I36)</f>
        <v/>
      </c>
      <c r="K36">
        <f>IF(B36&lt;=INDEX(Personnel!$M:$M,MATCH($A36,Personnel!$A:$A,0)),"OK","ΥΠΕΡΒΑΣΗ")</f>
        <v/>
      </c>
      <c r="L36">
        <f>IF(C36&lt;=INDEX(Personnel!$N:$N,MATCH($A36,Personnel!$A:$A,0)),"OK","ΠΟΛΛΑ ΣΚ")</f>
        <v/>
      </c>
    </row>
    <row r="37">
      <c r="A37" t="inlineStr">
        <is>
          <t>Στρατιώτης 036</t>
        </is>
      </c>
      <c r="B37">
        <f>SUM(D37:G37)</f>
        <v/>
      </c>
      <c r="C37">
        <f>COUNTIFS(Schedule!$A$4:$A$33,"Σάββατο",Schedule!$C$4:$C$33,$A37)+COUNTIFS(Schedule!$A$4:$A$33,"Σάββατο",Schedule!$D$4:$D$33,$A37)+COUNTIFS(Schedule!$A$4:$A$33,"Σάββατο",Schedule!$E$4:$E$33,$A37)+COUNTIFS(Schedule!$A$4:$A$33,"Σάββατο",Schedule!$G$4:$G$33,$A37)+COUNTIFS(Schedule!$A$4:$A$33,"Σάββατο",Schedule!$H$4:$H$33,$A37)+COUNTIFS(Schedule!$A$4:$A$33,"Σάββατο",Schedule!$I$4:$I$33,$A37)+COUNTIFS(Schedule!$A$4:$A$33,"Σάββατο",Schedule!$J$4:$J$33,$A37)+COUNTIFS(Schedule!$A$4:$A$33,"Σάββατο",Schedule!$K$4:$K$33,$A37)+COUNTIFS(Schedule!$A$4:$A$33,"Κυριακή",Schedule!$C$4:$C$33,$A37)+COUNTIFS(Schedule!$A$4:$A$33,"Κυριακή",Schedule!$D$4:$D$33,$A37)+COUNTIFS(Schedule!$A$4:$A$33,"Κυριακή",Schedule!$E$4:$E$33,$A37)+COUNTIFS(Schedule!$A$4:$A$33,"Κυριακή",Schedule!$G$4:$G$33,$A37)+COUNTIFS(Schedule!$A$4:$A$33,"Κυριακή",Schedule!$H$4:$H$33,$A37)+COUNTIFS(Schedule!$A$4:$A$33,"Κυριακή",Schedule!$I$4:$I$33,$A37)+COUNTIFS(Schedule!$A$4:$A$33,"Κυριακή",Schedule!$J$4:$J$33,$A37)+COUNTIFS(Schedule!$A$4:$A$33,"Κυριακή",Schedule!$K$4:$K$33,$A37)</f>
        <v/>
      </c>
      <c r="D37">
        <f>COUNTIF(Schedule!$C$4:$C$33,$A37)+COUNTIF(Schedule!$D$4:$D$33,$A37)+COUNTIF(Schedule!$E$4:$E$33,$A37)</f>
        <v/>
      </c>
      <c r="E37">
        <f>COUNTIF(Schedule!$G$4:$G$33,$A37)+COUNTIF(Schedule!$H$4:$H$33,$A37)</f>
        <v/>
      </c>
      <c r="F37">
        <f>COUNTIF(Schedule!$I$4:$I$33,$A37)+COUNTIF(Schedule!$J$4:$J$33,$A37)</f>
        <v/>
      </c>
      <c r="G37">
        <f>COUNTIF(Schedule!$K$4:$K$33,$A37)</f>
        <v/>
      </c>
      <c r="H37">
        <f>COUNTIF(Schedule!$L$4:$L$33,$A37)</f>
        <v/>
      </c>
      <c r="I37">
        <f>COUNTIF(Schedule!$M$4:$M$33,$A37)</f>
        <v/>
      </c>
      <c r="J37">
        <f>SUM(H37:I37)</f>
        <v/>
      </c>
      <c r="K37">
        <f>IF(B37&lt;=INDEX(Personnel!$M:$M,MATCH($A37,Personnel!$A:$A,0)),"OK","ΥΠΕΡΒΑΣΗ")</f>
        <v/>
      </c>
      <c r="L37">
        <f>IF(C37&lt;=INDEX(Personnel!$N:$N,MATCH($A37,Personnel!$A:$A,0)),"OK","ΠΟΛΛΑ ΣΚ")</f>
        <v/>
      </c>
    </row>
    <row r="38">
      <c r="A38" t="inlineStr">
        <is>
          <t>Στρατιώτης 037</t>
        </is>
      </c>
      <c r="B38">
        <f>SUM(D38:G38)</f>
        <v/>
      </c>
      <c r="C38">
        <f>COUNTIFS(Schedule!$A$4:$A$33,"Σάββατο",Schedule!$C$4:$C$33,$A38)+COUNTIFS(Schedule!$A$4:$A$33,"Σάββατο",Schedule!$D$4:$D$33,$A38)+COUNTIFS(Schedule!$A$4:$A$33,"Σάββατο",Schedule!$E$4:$E$33,$A38)+COUNTIFS(Schedule!$A$4:$A$33,"Σάββατο",Schedule!$G$4:$G$33,$A38)+COUNTIFS(Schedule!$A$4:$A$33,"Σάββατο",Schedule!$H$4:$H$33,$A38)+COUNTIFS(Schedule!$A$4:$A$33,"Σάββατο",Schedule!$I$4:$I$33,$A38)+COUNTIFS(Schedule!$A$4:$A$33,"Σάββατο",Schedule!$J$4:$J$33,$A38)+COUNTIFS(Schedule!$A$4:$A$33,"Σάββατο",Schedule!$K$4:$K$33,$A38)+COUNTIFS(Schedule!$A$4:$A$33,"Κυριακή",Schedule!$C$4:$C$33,$A38)+COUNTIFS(Schedule!$A$4:$A$33,"Κυριακή",Schedule!$D$4:$D$33,$A38)+COUNTIFS(Schedule!$A$4:$A$33,"Κυριακή",Schedule!$E$4:$E$33,$A38)+COUNTIFS(Schedule!$A$4:$A$33,"Κυριακή",Schedule!$G$4:$G$33,$A38)+COUNTIFS(Schedule!$A$4:$A$33,"Κυριακή",Schedule!$H$4:$H$33,$A38)+COUNTIFS(Schedule!$A$4:$A$33,"Κυριακή",Schedule!$I$4:$I$33,$A38)+COUNTIFS(Schedule!$A$4:$A$33,"Κυριακή",Schedule!$J$4:$J$33,$A38)+COUNTIFS(Schedule!$A$4:$A$33,"Κυριακή",Schedule!$K$4:$K$33,$A38)</f>
        <v/>
      </c>
      <c r="D38">
        <f>COUNTIF(Schedule!$C$4:$C$33,$A38)+COUNTIF(Schedule!$D$4:$D$33,$A38)+COUNTIF(Schedule!$E$4:$E$33,$A38)</f>
        <v/>
      </c>
      <c r="E38">
        <f>COUNTIF(Schedule!$G$4:$G$33,$A38)+COUNTIF(Schedule!$H$4:$H$33,$A38)</f>
        <v/>
      </c>
      <c r="F38">
        <f>COUNTIF(Schedule!$I$4:$I$33,$A38)+COUNTIF(Schedule!$J$4:$J$33,$A38)</f>
        <v/>
      </c>
      <c r="G38">
        <f>COUNTIF(Schedule!$K$4:$K$33,$A38)</f>
        <v/>
      </c>
      <c r="H38">
        <f>COUNTIF(Schedule!$L$4:$L$33,$A38)</f>
        <v/>
      </c>
      <c r="I38">
        <f>COUNTIF(Schedule!$M$4:$M$33,$A38)</f>
        <v/>
      </c>
      <c r="J38">
        <f>SUM(H38:I38)</f>
        <v/>
      </c>
      <c r="K38">
        <f>IF(B38&lt;=INDEX(Personnel!$M:$M,MATCH($A38,Personnel!$A:$A,0)),"OK","ΥΠΕΡΒΑΣΗ")</f>
        <v/>
      </c>
      <c r="L38">
        <f>IF(C38&lt;=INDEX(Personnel!$N:$N,MATCH($A38,Personnel!$A:$A,0)),"OK","ΠΟΛΛΑ ΣΚ")</f>
        <v/>
      </c>
    </row>
    <row r="39">
      <c r="A39" t="inlineStr">
        <is>
          <t>Στρατιώτης 038</t>
        </is>
      </c>
      <c r="B39">
        <f>SUM(D39:G39)</f>
        <v/>
      </c>
      <c r="C39">
        <f>COUNTIFS(Schedule!$A$4:$A$33,"Σάββατο",Schedule!$C$4:$C$33,$A39)+COUNTIFS(Schedule!$A$4:$A$33,"Σάββατο",Schedule!$D$4:$D$33,$A39)+COUNTIFS(Schedule!$A$4:$A$33,"Σάββατο",Schedule!$E$4:$E$33,$A39)+COUNTIFS(Schedule!$A$4:$A$33,"Σάββατο",Schedule!$G$4:$G$33,$A39)+COUNTIFS(Schedule!$A$4:$A$33,"Σάββατο",Schedule!$H$4:$H$33,$A39)+COUNTIFS(Schedule!$A$4:$A$33,"Σάββατο",Schedule!$I$4:$I$33,$A39)+COUNTIFS(Schedule!$A$4:$A$33,"Σάββατο",Schedule!$J$4:$J$33,$A39)+COUNTIFS(Schedule!$A$4:$A$33,"Σάββατο",Schedule!$K$4:$K$33,$A39)+COUNTIFS(Schedule!$A$4:$A$33,"Κυριακή",Schedule!$C$4:$C$33,$A39)+COUNTIFS(Schedule!$A$4:$A$33,"Κυριακή",Schedule!$D$4:$D$33,$A39)+COUNTIFS(Schedule!$A$4:$A$33,"Κυριακή",Schedule!$E$4:$E$33,$A39)+COUNTIFS(Schedule!$A$4:$A$33,"Κυριακή",Schedule!$G$4:$G$33,$A39)+COUNTIFS(Schedule!$A$4:$A$33,"Κυριακή",Schedule!$H$4:$H$33,$A39)+COUNTIFS(Schedule!$A$4:$A$33,"Κυριακή",Schedule!$I$4:$I$33,$A39)+COUNTIFS(Schedule!$A$4:$A$33,"Κυριακή",Schedule!$J$4:$J$33,$A39)+COUNTIFS(Schedule!$A$4:$A$33,"Κυριακή",Schedule!$K$4:$K$33,$A39)</f>
        <v/>
      </c>
      <c r="D39">
        <f>COUNTIF(Schedule!$C$4:$C$33,$A39)+COUNTIF(Schedule!$D$4:$D$33,$A39)+COUNTIF(Schedule!$E$4:$E$33,$A39)</f>
        <v/>
      </c>
      <c r="E39">
        <f>COUNTIF(Schedule!$G$4:$G$33,$A39)+COUNTIF(Schedule!$H$4:$H$33,$A39)</f>
        <v/>
      </c>
      <c r="F39">
        <f>COUNTIF(Schedule!$I$4:$I$33,$A39)+COUNTIF(Schedule!$J$4:$J$33,$A39)</f>
        <v/>
      </c>
      <c r="G39">
        <f>COUNTIF(Schedule!$K$4:$K$33,$A39)</f>
        <v/>
      </c>
      <c r="H39">
        <f>COUNTIF(Schedule!$L$4:$L$33,$A39)</f>
        <v/>
      </c>
      <c r="I39">
        <f>COUNTIF(Schedule!$M$4:$M$33,$A39)</f>
        <v/>
      </c>
      <c r="J39">
        <f>SUM(H39:I39)</f>
        <v/>
      </c>
      <c r="K39">
        <f>IF(B39&lt;=INDEX(Personnel!$M:$M,MATCH($A39,Personnel!$A:$A,0)),"OK","ΥΠΕΡΒΑΣΗ")</f>
        <v/>
      </c>
      <c r="L39">
        <f>IF(C39&lt;=INDEX(Personnel!$N:$N,MATCH($A39,Personnel!$A:$A,0)),"OK","ΠΟΛΛΑ ΣΚ")</f>
        <v/>
      </c>
    </row>
    <row r="40">
      <c r="A40" t="inlineStr">
        <is>
          <t>Στρατιώτης 039</t>
        </is>
      </c>
      <c r="B40">
        <f>SUM(D40:G40)</f>
        <v/>
      </c>
      <c r="C40">
        <f>COUNTIFS(Schedule!$A$4:$A$33,"Σάββατο",Schedule!$C$4:$C$33,$A40)+COUNTIFS(Schedule!$A$4:$A$33,"Σάββατο",Schedule!$D$4:$D$33,$A40)+COUNTIFS(Schedule!$A$4:$A$33,"Σάββατο",Schedule!$E$4:$E$33,$A40)+COUNTIFS(Schedule!$A$4:$A$33,"Σάββατο",Schedule!$G$4:$G$33,$A40)+COUNTIFS(Schedule!$A$4:$A$33,"Σάββατο",Schedule!$H$4:$H$33,$A40)+COUNTIFS(Schedule!$A$4:$A$33,"Σάββατο",Schedule!$I$4:$I$33,$A40)+COUNTIFS(Schedule!$A$4:$A$33,"Σάββατο",Schedule!$J$4:$J$33,$A40)+COUNTIFS(Schedule!$A$4:$A$33,"Σάββατο",Schedule!$K$4:$K$33,$A40)+COUNTIFS(Schedule!$A$4:$A$33,"Κυριακή",Schedule!$C$4:$C$33,$A40)+COUNTIFS(Schedule!$A$4:$A$33,"Κυριακή",Schedule!$D$4:$D$33,$A40)+COUNTIFS(Schedule!$A$4:$A$33,"Κυριακή",Schedule!$E$4:$E$33,$A40)+COUNTIFS(Schedule!$A$4:$A$33,"Κυριακή",Schedule!$G$4:$G$33,$A40)+COUNTIFS(Schedule!$A$4:$A$33,"Κυριακή",Schedule!$H$4:$H$33,$A40)+COUNTIFS(Schedule!$A$4:$A$33,"Κυριακή",Schedule!$I$4:$I$33,$A40)+COUNTIFS(Schedule!$A$4:$A$33,"Κυριακή",Schedule!$J$4:$J$33,$A40)+COUNTIFS(Schedule!$A$4:$A$33,"Κυριακή",Schedule!$K$4:$K$33,$A40)</f>
        <v/>
      </c>
      <c r="D40">
        <f>COUNTIF(Schedule!$C$4:$C$33,$A40)+COUNTIF(Schedule!$D$4:$D$33,$A40)+COUNTIF(Schedule!$E$4:$E$33,$A40)</f>
        <v/>
      </c>
      <c r="E40">
        <f>COUNTIF(Schedule!$G$4:$G$33,$A40)+COUNTIF(Schedule!$H$4:$H$33,$A40)</f>
        <v/>
      </c>
      <c r="F40">
        <f>COUNTIF(Schedule!$I$4:$I$33,$A40)+COUNTIF(Schedule!$J$4:$J$33,$A40)</f>
        <v/>
      </c>
      <c r="G40">
        <f>COUNTIF(Schedule!$K$4:$K$33,$A40)</f>
        <v/>
      </c>
      <c r="H40">
        <f>COUNTIF(Schedule!$L$4:$L$33,$A40)</f>
        <v/>
      </c>
      <c r="I40">
        <f>COUNTIF(Schedule!$M$4:$M$33,$A40)</f>
        <v/>
      </c>
      <c r="J40">
        <f>SUM(H40:I40)</f>
        <v/>
      </c>
      <c r="K40">
        <f>IF(B40&lt;=INDEX(Personnel!$M:$M,MATCH($A40,Personnel!$A:$A,0)),"OK","ΥΠΕΡΒΑΣΗ")</f>
        <v/>
      </c>
      <c r="L40">
        <f>IF(C40&lt;=INDEX(Personnel!$N:$N,MATCH($A40,Personnel!$A:$A,0)),"OK","ΠΟΛΛΑ ΣΚ")</f>
        <v/>
      </c>
    </row>
    <row r="41">
      <c r="A41" t="inlineStr">
        <is>
          <t>Στρατιώτης 040</t>
        </is>
      </c>
      <c r="B41">
        <f>SUM(D41:G41)</f>
        <v/>
      </c>
      <c r="C41">
        <f>COUNTIFS(Schedule!$A$4:$A$33,"Σάββατο",Schedule!$C$4:$C$33,$A41)+COUNTIFS(Schedule!$A$4:$A$33,"Σάββατο",Schedule!$D$4:$D$33,$A41)+COUNTIFS(Schedule!$A$4:$A$33,"Σάββατο",Schedule!$E$4:$E$33,$A41)+COUNTIFS(Schedule!$A$4:$A$33,"Σάββατο",Schedule!$G$4:$G$33,$A41)+COUNTIFS(Schedule!$A$4:$A$33,"Σάββατο",Schedule!$H$4:$H$33,$A41)+COUNTIFS(Schedule!$A$4:$A$33,"Σάββατο",Schedule!$I$4:$I$33,$A41)+COUNTIFS(Schedule!$A$4:$A$33,"Σάββατο",Schedule!$J$4:$J$33,$A41)+COUNTIFS(Schedule!$A$4:$A$33,"Σάββατο",Schedule!$K$4:$K$33,$A41)+COUNTIFS(Schedule!$A$4:$A$33,"Κυριακή",Schedule!$C$4:$C$33,$A41)+COUNTIFS(Schedule!$A$4:$A$33,"Κυριακή",Schedule!$D$4:$D$33,$A41)+COUNTIFS(Schedule!$A$4:$A$33,"Κυριακή",Schedule!$E$4:$E$33,$A41)+COUNTIFS(Schedule!$A$4:$A$33,"Κυριακή",Schedule!$G$4:$G$33,$A41)+COUNTIFS(Schedule!$A$4:$A$33,"Κυριακή",Schedule!$H$4:$H$33,$A41)+COUNTIFS(Schedule!$A$4:$A$33,"Κυριακή",Schedule!$I$4:$I$33,$A41)+COUNTIFS(Schedule!$A$4:$A$33,"Κυριακή",Schedule!$J$4:$J$33,$A41)+COUNTIFS(Schedule!$A$4:$A$33,"Κυριακή",Schedule!$K$4:$K$33,$A41)</f>
        <v/>
      </c>
      <c r="D41">
        <f>COUNTIF(Schedule!$C$4:$C$33,$A41)+COUNTIF(Schedule!$D$4:$D$33,$A41)+COUNTIF(Schedule!$E$4:$E$33,$A41)</f>
        <v/>
      </c>
      <c r="E41">
        <f>COUNTIF(Schedule!$G$4:$G$33,$A41)+COUNTIF(Schedule!$H$4:$H$33,$A41)</f>
        <v/>
      </c>
      <c r="F41">
        <f>COUNTIF(Schedule!$I$4:$I$33,$A41)+COUNTIF(Schedule!$J$4:$J$33,$A41)</f>
        <v/>
      </c>
      <c r="G41">
        <f>COUNTIF(Schedule!$K$4:$K$33,$A41)</f>
        <v/>
      </c>
      <c r="H41">
        <f>COUNTIF(Schedule!$L$4:$L$33,$A41)</f>
        <v/>
      </c>
      <c r="I41">
        <f>COUNTIF(Schedule!$M$4:$M$33,$A41)</f>
        <v/>
      </c>
      <c r="J41">
        <f>SUM(H41:I41)</f>
        <v/>
      </c>
      <c r="K41">
        <f>IF(B41&lt;=INDEX(Personnel!$M:$M,MATCH($A41,Personnel!$A:$A,0)),"OK","ΥΠΕΡΒΑΣΗ")</f>
        <v/>
      </c>
      <c r="L41">
        <f>IF(C41&lt;=INDEX(Personnel!$N:$N,MATCH($A41,Personnel!$A:$A,0)),"OK","ΠΟΛΛΑ ΣΚ")</f>
        <v/>
      </c>
    </row>
    <row r="42">
      <c r="A42" t="inlineStr">
        <is>
          <t>Στρατιώτης 041</t>
        </is>
      </c>
      <c r="B42">
        <f>SUM(D42:G42)</f>
        <v/>
      </c>
      <c r="C42">
        <f>COUNTIFS(Schedule!$A$4:$A$33,"Σάββατο",Schedule!$C$4:$C$33,$A42)+COUNTIFS(Schedule!$A$4:$A$33,"Σάββατο",Schedule!$D$4:$D$33,$A42)+COUNTIFS(Schedule!$A$4:$A$33,"Σάββατο",Schedule!$E$4:$E$33,$A42)+COUNTIFS(Schedule!$A$4:$A$33,"Σάββατο",Schedule!$G$4:$G$33,$A42)+COUNTIFS(Schedule!$A$4:$A$33,"Σάββατο",Schedule!$H$4:$H$33,$A42)+COUNTIFS(Schedule!$A$4:$A$33,"Σάββατο",Schedule!$I$4:$I$33,$A42)+COUNTIFS(Schedule!$A$4:$A$33,"Σάββατο",Schedule!$J$4:$J$33,$A42)+COUNTIFS(Schedule!$A$4:$A$33,"Σάββατο",Schedule!$K$4:$K$33,$A42)+COUNTIFS(Schedule!$A$4:$A$33,"Κυριακή",Schedule!$C$4:$C$33,$A42)+COUNTIFS(Schedule!$A$4:$A$33,"Κυριακή",Schedule!$D$4:$D$33,$A42)+COUNTIFS(Schedule!$A$4:$A$33,"Κυριακή",Schedule!$E$4:$E$33,$A42)+COUNTIFS(Schedule!$A$4:$A$33,"Κυριακή",Schedule!$G$4:$G$33,$A42)+COUNTIFS(Schedule!$A$4:$A$33,"Κυριακή",Schedule!$H$4:$H$33,$A42)+COUNTIFS(Schedule!$A$4:$A$33,"Κυριακή",Schedule!$I$4:$I$33,$A42)+COUNTIFS(Schedule!$A$4:$A$33,"Κυριακή",Schedule!$J$4:$J$33,$A42)+COUNTIFS(Schedule!$A$4:$A$33,"Κυριακή",Schedule!$K$4:$K$33,$A42)</f>
        <v/>
      </c>
      <c r="D42">
        <f>COUNTIF(Schedule!$C$4:$C$33,$A42)+COUNTIF(Schedule!$D$4:$D$33,$A42)+COUNTIF(Schedule!$E$4:$E$33,$A42)</f>
        <v/>
      </c>
      <c r="E42">
        <f>COUNTIF(Schedule!$G$4:$G$33,$A42)+COUNTIF(Schedule!$H$4:$H$33,$A42)</f>
        <v/>
      </c>
      <c r="F42">
        <f>COUNTIF(Schedule!$I$4:$I$33,$A42)+COUNTIF(Schedule!$J$4:$J$33,$A42)</f>
        <v/>
      </c>
      <c r="G42">
        <f>COUNTIF(Schedule!$K$4:$K$33,$A42)</f>
        <v/>
      </c>
      <c r="H42">
        <f>COUNTIF(Schedule!$L$4:$L$33,$A42)</f>
        <v/>
      </c>
      <c r="I42">
        <f>COUNTIF(Schedule!$M$4:$M$33,$A42)</f>
        <v/>
      </c>
      <c r="J42">
        <f>SUM(H42:I42)</f>
        <v/>
      </c>
      <c r="K42">
        <f>IF(B42&lt;=INDEX(Personnel!$M:$M,MATCH($A42,Personnel!$A:$A,0)),"OK","ΥΠΕΡΒΑΣΗ")</f>
        <v/>
      </c>
      <c r="L42">
        <f>IF(C42&lt;=INDEX(Personnel!$N:$N,MATCH($A42,Personnel!$A:$A,0)),"OK","ΠΟΛΛΑ ΣΚ")</f>
        <v/>
      </c>
    </row>
    <row r="43">
      <c r="A43" t="inlineStr">
        <is>
          <t>Στρατιώτης 042</t>
        </is>
      </c>
      <c r="B43">
        <f>SUM(D43:G43)</f>
        <v/>
      </c>
      <c r="C43">
        <f>COUNTIFS(Schedule!$A$4:$A$33,"Σάββατο",Schedule!$C$4:$C$33,$A43)+COUNTIFS(Schedule!$A$4:$A$33,"Σάββατο",Schedule!$D$4:$D$33,$A43)+COUNTIFS(Schedule!$A$4:$A$33,"Σάββατο",Schedule!$E$4:$E$33,$A43)+COUNTIFS(Schedule!$A$4:$A$33,"Σάββατο",Schedule!$G$4:$G$33,$A43)+COUNTIFS(Schedule!$A$4:$A$33,"Σάββατο",Schedule!$H$4:$H$33,$A43)+COUNTIFS(Schedule!$A$4:$A$33,"Σάββατο",Schedule!$I$4:$I$33,$A43)+COUNTIFS(Schedule!$A$4:$A$33,"Σάββατο",Schedule!$J$4:$J$33,$A43)+COUNTIFS(Schedule!$A$4:$A$33,"Σάββατο",Schedule!$K$4:$K$33,$A43)+COUNTIFS(Schedule!$A$4:$A$33,"Κυριακή",Schedule!$C$4:$C$33,$A43)+COUNTIFS(Schedule!$A$4:$A$33,"Κυριακή",Schedule!$D$4:$D$33,$A43)+COUNTIFS(Schedule!$A$4:$A$33,"Κυριακή",Schedule!$E$4:$E$33,$A43)+COUNTIFS(Schedule!$A$4:$A$33,"Κυριακή",Schedule!$G$4:$G$33,$A43)+COUNTIFS(Schedule!$A$4:$A$33,"Κυριακή",Schedule!$H$4:$H$33,$A43)+COUNTIFS(Schedule!$A$4:$A$33,"Κυριακή",Schedule!$I$4:$I$33,$A43)+COUNTIFS(Schedule!$A$4:$A$33,"Κυριακή",Schedule!$J$4:$J$33,$A43)+COUNTIFS(Schedule!$A$4:$A$33,"Κυριακή",Schedule!$K$4:$K$33,$A43)</f>
        <v/>
      </c>
      <c r="D43">
        <f>COUNTIF(Schedule!$C$4:$C$33,$A43)+COUNTIF(Schedule!$D$4:$D$33,$A43)+COUNTIF(Schedule!$E$4:$E$33,$A43)</f>
        <v/>
      </c>
      <c r="E43">
        <f>COUNTIF(Schedule!$G$4:$G$33,$A43)+COUNTIF(Schedule!$H$4:$H$33,$A43)</f>
        <v/>
      </c>
      <c r="F43">
        <f>COUNTIF(Schedule!$I$4:$I$33,$A43)+COUNTIF(Schedule!$J$4:$J$33,$A43)</f>
        <v/>
      </c>
      <c r="G43">
        <f>COUNTIF(Schedule!$K$4:$K$33,$A43)</f>
        <v/>
      </c>
      <c r="H43">
        <f>COUNTIF(Schedule!$L$4:$L$33,$A43)</f>
        <v/>
      </c>
      <c r="I43">
        <f>COUNTIF(Schedule!$M$4:$M$33,$A43)</f>
        <v/>
      </c>
      <c r="J43">
        <f>SUM(H43:I43)</f>
        <v/>
      </c>
      <c r="K43">
        <f>IF(B43&lt;=INDEX(Personnel!$M:$M,MATCH($A43,Personnel!$A:$A,0)),"OK","ΥΠΕΡΒΑΣΗ")</f>
        <v/>
      </c>
      <c r="L43">
        <f>IF(C43&lt;=INDEX(Personnel!$N:$N,MATCH($A43,Personnel!$A:$A,0)),"OK","ΠΟΛΛΑ ΣΚ")</f>
        <v/>
      </c>
    </row>
    <row r="44">
      <c r="A44" t="inlineStr">
        <is>
          <t>Στρατιώτης 043</t>
        </is>
      </c>
      <c r="B44">
        <f>SUM(D44:G44)</f>
        <v/>
      </c>
      <c r="C44">
        <f>COUNTIFS(Schedule!$A$4:$A$33,"Σάββατο",Schedule!$C$4:$C$33,$A44)+COUNTIFS(Schedule!$A$4:$A$33,"Σάββατο",Schedule!$D$4:$D$33,$A44)+COUNTIFS(Schedule!$A$4:$A$33,"Σάββατο",Schedule!$E$4:$E$33,$A44)+COUNTIFS(Schedule!$A$4:$A$33,"Σάββατο",Schedule!$G$4:$G$33,$A44)+COUNTIFS(Schedule!$A$4:$A$33,"Σάββατο",Schedule!$H$4:$H$33,$A44)+COUNTIFS(Schedule!$A$4:$A$33,"Σάββατο",Schedule!$I$4:$I$33,$A44)+COUNTIFS(Schedule!$A$4:$A$33,"Σάββατο",Schedule!$J$4:$J$33,$A44)+COUNTIFS(Schedule!$A$4:$A$33,"Σάββατο",Schedule!$K$4:$K$33,$A44)+COUNTIFS(Schedule!$A$4:$A$33,"Κυριακή",Schedule!$C$4:$C$33,$A44)+COUNTIFS(Schedule!$A$4:$A$33,"Κυριακή",Schedule!$D$4:$D$33,$A44)+COUNTIFS(Schedule!$A$4:$A$33,"Κυριακή",Schedule!$E$4:$E$33,$A44)+COUNTIFS(Schedule!$A$4:$A$33,"Κυριακή",Schedule!$G$4:$G$33,$A44)+COUNTIFS(Schedule!$A$4:$A$33,"Κυριακή",Schedule!$H$4:$H$33,$A44)+COUNTIFS(Schedule!$A$4:$A$33,"Κυριακή",Schedule!$I$4:$I$33,$A44)+COUNTIFS(Schedule!$A$4:$A$33,"Κυριακή",Schedule!$J$4:$J$33,$A44)+COUNTIFS(Schedule!$A$4:$A$33,"Κυριακή",Schedule!$K$4:$K$33,$A44)</f>
        <v/>
      </c>
      <c r="D44">
        <f>COUNTIF(Schedule!$C$4:$C$33,$A44)+COUNTIF(Schedule!$D$4:$D$33,$A44)+COUNTIF(Schedule!$E$4:$E$33,$A44)</f>
        <v/>
      </c>
      <c r="E44">
        <f>COUNTIF(Schedule!$G$4:$G$33,$A44)+COUNTIF(Schedule!$H$4:$H$33,$A44)</f>
        <v/>
      </c>
      <c r="F44">
        <f>COUNTIF(Schedule!$I$4:$I$33,$A44)+COUNTIF(Schedule!$J$4:$J$33,$A44)</f>
        <v/>
      </c>
      <c r="G44">
        <f>COUNTIF(Schedule!$K$4:$K$33,$A44)</f>
        <v/>
      </c>
      <c r="H44">
        <f>COUNTIF(Schedule!$L$4:$L$33,$A44)</f>
        <v/>
      </c>
      <c r="I44">
        <f>COUNTIF(Schedule!$M$4:$M$33,$A44)</f>
        <v/>
      </c>
      <c r="J44">
        <f>SUM(H44:I44)</f>
        <v/>
      </c>
      <c r="K44">
        <f>IF(B44&lt;=INDEX(Personnel!$M:$M,MATCH($A44,Personnel!$A:$A,0)),"OK","ΥΠΕΡΒΑΣΗ")</f>
        <v/>
      </c>
      <c r="L44">
        <f>IF(C44&lt;=INDEX(Personnel!$N:$N,MATCH($A44,Personnel!$A:$A,0)),"OK","ΠΟΛΛΑ ΣΚ")</f>
        <v/>
      </c>
    </row>
    <row r="45">
      <c r="A45" t="inlineStr">
        <is>
          <t>Στρατιώτης 044</t>
        </is>
      </c>
      <c r="B45">
        <f>SUM(D45:G45)</f>
        <v/>
      </c>
      <c r="C45">
        <f>COUNTIFS(Schedule!$A$4:$A$33,"Σάββατο",Schedule!$C$4:$C$33,$A45)+COUNTIFS(Schedule!$A$4:$A$33,"Σάββατο",Schedule!$D$4:$D$33,$A45)+COUNTIFS(Schedule!$A$4:$A$33,"Σάββατο",Schedule!$E$4:$E$33,$A45)+COUNTIFS(Schedule!$A$4:$A$33,"Σάββατο",Schedule!$G$4:$G$33,$A45)+COUNTIFS(Schedule!$A$4:$A$33,"Σάββατο",Schedule!$H$4:$H$33,$A45)+COUNTIFS(Schedule!$A$4:$A$33,"Σάββατο",Schedule!$I$4:$I$33,$A45)+COUNTIFS(Schedule!$A$4:$A$33,"Σάββατο",Schedule!$J$4:$J$33,$A45)+COUNTIFS(Schedule!$A$4:$A$33,"Σάββατο",Schedule!$K$4:$K$33,$A45)+COUNTIFS(Schedule!$A$4:$A$33,"Κυριακή",Schedule!$C$4:$C$33,$A45)+COUNTIFS(Schedule!$A$4:$A$33,"Κυριακή",Schedule!$D$4:$D$33,$A45)+COUNTIFS(Schedule!$A$4:$A$33,"Κυριακή",Schedule!$E$4:$E$33,$A45)+COUNTIFS(Schedule!$A$4:$A$33,"Κυριακή",Schedule!$G$4:$G$33,$A45)+COUNTIFS(Schedule!$A$4:$A$33,"Κυριακή",Schedule!$H$4:$H$33,$A45)+COUNTIFS(Schedule!$A$4:$A$33,"Κυριακή",Schedule!$I$4:$I$33,$A45)+COUNTIFS(Schedule!$A$4:$A$33,"Κυριακή",Schedule!$J$4:$J$33,$A45)+COUNTIFS(Schedule!$A$4:$A$33,"Κυριακή",Schedule!$K$4:$K$33,$A45)</f>
        <v/>
      </c>
      <c r="D45">
        <f>COUNTIF(Schedule!$C$4:$C$33,$A45)+COUNTIF(Schedule!$D$4:$D$33,$A45)+COUNTIF(Schedule!$E$4:$E$33,$A45)</f>
        <v/>
      </c>
      <c r="E45">
        <f>COUNTIF(Schedule!$G$4:$G$33,$A45)+COUNTIF(Schedule!$H$4:$H$33,$A45)</f>
        <v/>
      </c>
      <c r="F45">
        <f>COUNTIF(Schedule!$I$4:$I$33,$A45)+COUNTIF(Schedule!$J$4:$J$33,$A45)</f>
        <v/>
      </c>
      <c r="G45">
        <f>COUNTIF(Schedule!$K$4:$K$33,$A45)</f>
        <v/>
      </c>
      <c r="H45">
        <f>COUNTIF(Schedule!$L$4:$L$33,$A45)</f>
        <v/>
      </c>
      <c r="I45">
        <f>COUNTIF(Schedule!$M$4:$M$33,$A45)</f>
        <v/>
      </c>
      <c r="J45">
        <f>SUM(H45:I45)</f>
        <v/>
      </c>
      <c r="K45">
        <f>IF(B45&lt;=INDEX(Personnel!$M:$M,MATCH($A45,Personnel!$A:$A,0)),"OK","ΥΠΕΡΒΑΣΗ")</f>
        <v/>
      </c>
      <c r="L45">
        <f>IF(C45&lt;=INDEX(Personnel!$N:$N,MATCH($A45,Personnel!$A:$A,0)),"OK","ΠΟΛΛΑ ΣΚ")</f>
        <v/>
      </c>
    </row>
    <row r="46">
      <c r="A46" t="inlineStr">
        <is>
          <t>Στρατιώτης 045</t>
        </is>
      </c>
      <c r="B46">
        <f>SUM(D46:G46)</f>
        <v/>
      </c>
      <c r="C46">
        <f>COUNTIFS(Schedule!$A$4:$A$33,"Σάββατο",Schedule!$C$4:$C$33,$A46)+COUNTIFS(Schedule!$A$4:$A$33,"Σάββατο",Schedule!$D$4:$D$33,$A46)+COUNTIFS(Schedule!$A$4:$A$33,"Σάββατο",Schedule!$E$4:$E$33,$A46)+COUNTIFS(Schedule!$A$4:$A$33,"Σάββατο",Schedule!$G$4:$G$33,$A46)+COUNTIFS(Schedule!$A$4:$A$33,"Σάββατο",Schedule!$H$4:$H$33,$A46)+COUNTIFS(Schedule!$A$4:$A$33,"Σάββατο",Schedule!$I$4:$I$33,$A46)+COUNTIFS(Schedule!$A$4:$A$33,"Σάββατο",Schedule!$J$4:$J$33,$A46)+COUNTIFS(Schedule!$A$4:$A$33,"Σάββατο",Schedule!$K$4:$K$33,$A46)+COUNTIFS(Schedule!$A$4:$A$33,"Κυριακή",Schedule!$C$4:$C$33,$A46)+COUNTIFS(Schedule!$A$4:$A$33,"Κυριακή",Schedule!$D$4:$D$33,$A46)+COUNTIFS(Schedule!$A$4:$A$33,"Κυριακή",Schedule!$E$4:$E$33,$A46)+COUNTIFS(Schedule!$A$4:$A$33,"Κυριακή",Schedule!$G$4:$G$33,$A46)+COUNTIFS(Schedule!$A$4:$A$33,"Κυριακή",Schedule!$H$4:$H$33,$A46)+COUNTIFS(Schedule!$A$4:$A$33,"Κυριακή",Schedule!$I$4:$I$33,$A46)+COUNTIFS(Schedule!$A$4:$A$33,"Κυριακή",Schedule!$J$4:$J$33,$A46)+COUNTIFS(Schedule!$A$4:$A$33,"Κυριακή",Schedule!$K$4:$K$33,$A46)</f>
        <v/>
      </c>
      <c r="D46">
        <f>COUNTIF(Schedule!$C$4:$C$33,$A46)+COUNTIF(Schedule!$D$4:$D$33,$A46)+COUNTIF(Schedule!$E$4:$E$33,$A46)</f>
        <v/>
      </c>
      <c r="E46">
        <f>COUNTIF(Schedule!$G$4:$G$33,$A46)+COUNTIF(Schedule!$H$4:$H$33,$A46)</f>
        <v/>
      </c>
      <c r="F46">
        <f>COUNTIF(Schedule!$I$4:$I$33,$A46)+COUNTIF(Schedule!$J$4:$J$33,$A46)</f>
        <v/>
      </c>
      <c r="G46">
        <f>COUNTIF(Schedule!$K$4:$K$33,$A46)</f>
        <v/>
      </c>
      <c r="H46">
        <f>COUNTIF(Schedule!$L$4:$L$33,$A46)</f>
        <v/>
      </c>
      <c r="I46">
        <f>COUNTIF(Schedule!$M$4:$M$33,$A46)</f>
        <v/>
      </c>
      <c r="J46">
        <f>SUM(H46:I46)</f>
        <v/>
      </c>
      <c r="K46">
        <f>IF(B46&lt;=INDEX(Personnel!$M:$M,MATCH($A46,Personnel!$A:$A,0)),"OK","ΥΠΕΡΒΑΣΗ")</f>
        <v/>
      </c>
      <c r="L46">
        <f>IF(C46&lt;=INDEX(Personnel!$N:$N,MATCH($A46,Personnel!$A:$A,0)),"OK","ΠΟΛΛΑ ΣΚ")</f>
        <v/>
      </c>
    </row>
    <row r="47">
      <c r="A47" t="inlineStr">
        <is>
          <t>Στρατιώτης 046</t>
        </is>
      </c>
      <c r="B47">
        <f>SUM(D47:G47)</f>
        <v/>
      </c>
      <c r="C47">
        <f>COUNTIFS(Schedule!$A$4:$A$33,"Σάββατο",Schedule!$C$4:$C$33,$A47)+COUNTIFS(Schedule!$A$4:$A$33,"Σάββατο",Schedule!$D$4:$D$33,$A47)+COUNTIFS(Schedule!$A$4:$A$33,"Σάββατο",Schedule!$E$4:$E$33,$A47)+COUNTIFS(Schedule!$A$4:$A$33,"Σάββατο",Schedule!$G$4:$G$33,$A47)+COUNTIFS(Schedule!$A$4:$A$33,"Σάββατο",Schedule!$H$4:$H$33,$A47)+COUNTIFS(Schedule!$A$4:$A$33,"Σάββατο",Schedule!$I$4:$I$33,$A47)+COUNTIFS(Schedule!$A$4:$A$33,"Σάββατο",Schedule!$J$4:$J$33,$A47)+COUNTIFS(Schedule!$A$4:$A$33,"Σάββατο",Schedule!$K$4:$K$33,$A47)+COUNTIFS(Schedule!$A$4:$A$33,"Κυριακή",Schedule!$C$4:$C$33,$A47)+COUNTIFS(Schedule!$A$4:$A$33,"Κυριακή",Schedule!$D$4:$D$33,$A47)+COUNTIFS(Schedule!$A$4:$A$33,"Κυριακή",Schedule!$E$4:$E$33,$A47)+COUNTIFS(Schedule!$A$4:$A$33,"Κυριακή",Schedule!$G$4:$G$33,$A47)+COUNTIFS(Schedule!$A$4:$A$33,"Κυριακή",Schedule!$H$4:$H$33,$A47)+COUNTIFS(Schedule!$A$4:$A$33,"Κυριακή",Schedule!$I$4:$I$33,$A47)+COUNTIFS(Schedule!$A$4:$A$33,"Κυριακή",Schedule!$J$4:$J$33,$A47)+COUNTIFS(Schedule!$A$4:$A$33,"Κυριακή",Schedule!$K$4:$K$33,$A47)</f>
        <v/>
      </c>
      <c r="D47">
        <f>COUNTIF(Schedule!$C$4:$C$33,$A47)+COUNTIF(Schedule!$D$4:$D$33,$A47)+COUNTIF(Schedule!$E$4:$E$33,$A47)</f>
        <v/>
      </c>
      <c r="E47">
        <f>COUNTIF(Schedule!$G$4:$G$33,$A47)+COUNTIF(Schedule!$H$4:$H$33,$A47)</f>
        <v/>
      </c>
      <c r="F47">
        <f>COUNTIF(Schedule!$I$4:$I$33,$A47)+COUNTIF(Schedule!$J$4:$J$33,$A47)</f>
        <v/>
      </c>
      <c r="G47">
        <f>COUNTIF(Schedule!$K$4:$K$33,$A47)</f>
        <v/>
      </c>
      <c r="H47">
        <f>COUNTIF(Schedule!$L$4:$L$33,$A47)</f>
        <v/>
      </c>
      <c r="I47">
        <f>COUNTIF(Schedule!$M$4:$M$33,$A47)</f>
        <v/>
      </c>
      <c r="J47">
        <f>SUM(H47:I47)</f>
        <v/>
      </c>
      <c r="K47">
        <f>IF(B47&lt;=INDEX(Personnel!$M:$M,MATCH($A47,Personnel!$A:$A,0)),"OK","ΥΠΕΡΒΑΣΗ")</f>
        <v/>
      </c>
      <c r="L47">
        <f>IF(C47&lt;=INDEX(Personnel!$N:$N,MATCH($A47,Personnel!$A:$A,0)),"OK","ΠΟΛΛΑ ΣΚ")</f>
        <v/>
      </c>
    </row>
    <row r="48">
      <c r="A48" t="inlineStr">
        <is>
          <t>Στρατιώτης 047</t>
        </is>
      </c>
      <c r="B48">
        <f>SUM(D48:G48)</f>
        <v/>
      </c>
      <c r="C48">
        <f>COUNTIFS(Schedule!$A$4:$A$33,"Σάββατο",Schedule!$C$4:$C$33,$A48)+COUNTIFS(Schedule!$A$4:$A$33,"Σάββατο",Schedule!$D$4:$D$33,$A48)+COUNTIFS(Schedule!$A$4:$A$33,"Σάββατο",Schedule!$E$4:$E$33,$A48)+COUNTIFS(Schedule!$A$4:$A$33,"Σάββατο",Schedule!$G$4:$G$33,$A48)+COUNTIFS(Schedule!$A$4:$A$33,"Σάββατο",Schedule!$H$4:$H$33,$A48)+COUNTIFS(Schedule!$A$4:$A$33,"Σάββατο",Schedule!$I$4:$I$33,$A48)+COUNTIFS(Schedule!$A$4:$A$33,"Σάββατο",Schedule!$J$4:$J$33,$A48)+COUNTIFS(Schedule!$A$4:$A$33,"Σάββατο",Schedule!$K$4:$K$33,$A48)+COUNTIFS(Schedule!$A$4:$A$33,"Κυριακή",Schedule!$C$4:$C$33,$A48)+COUNTIFS(Schedule!$A$4:$A$33,"Κυριακή",Schedule!$D$4:$D$33,$A48)+COUNTIFS(Schedule!$A$4:$A$33,"Κυριακή",Schedule!$E$4:$E$33,$A48)+COUNTIFS(Schedule!$A$4:$A$33,"Κυριακή",Schedule!$G$4:$G$33,$A48)+COUNTIFS(Schedule!$A$4:$A$33,"Κυριακή",Schedule!$H$4:$H$33,$A48)+COUNTIFS(Schedule!$A$4:$A$33,"Κυριακή",Schedule!$I$4:$I$33,$A48)+COUNTIFS(Schedule!$A$4:$A$33,"Κυριακή",Schedule!$J$4:$J$33,$A48)+COUNTIFS(Schedule!$A$4:$A$33,"Κυριακή",Schedule!$K$4:$K$33,$A48)</f>
        <v/>
      </c>
      <c r="D48">
        <f>COUNTIF(Schedule!$C$4:$C$33,$A48)+COUNTIF(Schedule!$D$4:$D$33,$A48)+COUNTIF(Schedule!$E$4:$E$33,$A48)</f>
        <v/>
      </c>
      <c r="E48">
        <f>COUNTIF(Schedule!$G$4:$G$33,$A48)+COUNTIF(Schedule!$H$4:$H$33,$A48)</f>
        <v/>
      </c>
      <c r="F48">
        <f>COUNTIF(Schedule!$I$4:$I$33,$A48)+COUNTIF(Schedule!$J$4:$J$33,$A48)</f>
        <v/>
      </c>
      <c r="G48">
        <f>COUNTIF(Schedule!$K$4:$K$33,$A48)</f>
        <v/>
      </c>
      <c r="H48">
        <f>COUNTIF(Schedule!$L$4:$L$33,$A48)</f>
        <v/>
      </c>
      <c r="I48">
        <f>COUNTIF(Schedule!$M$4:$M$33,$A48)</f>
        <v/>
      </c>
      <c r="J48">
        <f>SUM(H48:I48)</f>
        <v/>
      </c>
      <c r="K48">
        <f>IF(B48&lt;=INDEX(Personnel!$M:$M,MATCH($A48,Personnel!$A:$A,0)),"OK","ΥΠΕΡΒΑΣΗ")</f>
        <v/>
      </c>
      <c r="L48">
        <f>IF(C48&lt;=INDEX(Personnel!$N:$N,MATCH($A48,Personnel!$A:$A,0)),"OK","ΠΟΛΛΑ ΣΚ")</f>
        <v/>
      </c>
    </row>
    <row r="49">
      <c r="A49" t="inlineStr">
        <is>
          <t>Στρατιώτης 048</t>
        </is>
      </c>
      <c r="B49">
        <f>SUM(D49:G49)</f>
        <v/>
      </c>
      <c r="C49">
        <f>COUNTIFS(Schedule!$A$4:$A$33,"Σάββατο",Schedule!$C$4:$C$33,$A49)+COUNTIFS(Schedule!$A$4:$A$33,"Σάββατο",Schedule!$D$4:$D$33,$A49)+COUNTIFS(Schedule!$A$4:$A$33,"Σάββατο",Schedule!$E$4:$E$33,$A49)+COUNTIFS(Schedule!$A$4:$A$33,"Σάββατο",Schedule!$G$4:$G$33,$A49)+COUNTIFS(Schedule!$A$4:$A$33,"Σάββατο",Schedule!$H$4:$H$33,$A49)+COUNTIFS(Schedule!$A$4:$A$33,"Σάββατο",Schedule!$I$4:$I$33,$A49)+COUNTIFS(Schedule!$A$4:$A$33,"Σάββατο",Schedule!$J$4:$J$33,$A49)+COUNTIFS(Schedule!$A$4:$A$33,"Σάββατο",Schedule!$K$4:$K$33,$A49)+COUNTIFS(Schedule!$A$4:$A$33,"Κυριακή",Schedule!$C$4:$C$33,$A49)+COUNTIFS(Schedule!$A$4:$A$33,"Κυριακή",Schedule!$D$4:$D$33,$A49)+COUNTIFS(Schedule!$A$4:$A$33,"Κυριακή",Schedule!$E$4:$E$33,$A49)+COUNTIFS(Schedule!$A$4:$A$33,"Κυριακή",Schedule!$G$4:$G$33,$A49)+COUNTIFS(Schedule!$A$4:$A$33,"Κυριακή",Schedule!$H$4:$H$33,$A49)+COUNTIFS(Schedule!$A$4:$A$33,"Κυριακή",Schedule!$I$4:$I$33,$A49)+COUNTIFS(Schedule!$A$4:$A$33,"Κυριακή",Schedule!$J$4:$J$33,$A49)+COUNTIFS(Schedule!$A$4:$A$33,"Κυριακή",Schedule!$K$4:$K$33,$A49)</f>
        <v/>
      </c>
      <c r="D49">
        <f>COUNTIF(Schedule!$C$4:$C$33,$A49)+COUNTIF(Schedule!$D$4:$D$33,$A49)+COUNTIF(Schedule!$E$4:$E$33,$A49)</f>
        <v/>
      </c>
      <c r="E49">
        <f>COUNTIF(Schedule!$G$4:$G$33,$A49)+COUNTIF(Schedule!$H$4:$H$33,$A49)</f>
        <v/>
      </c>
      <c r="F49">
        <f>COUNTIF(Schedule!$I$4:$I$33,$A49)+COUNTIF(Schedule!$J$4:$J$33,$A49)</f>
        <v/>
      </c>
      <c r="G49">
        <f>COUNTIF(Schedule!$K$4:$K$33,$A49)</f>
        <v/>
      </c>
      <c r="H49">
        <f>COUNTIF(Schedule!$L$4:$L$33,$A49)</f>
        <v/>
      </c>
      <c r="I49">
        <f>COUNTIF(Schedule!$M$4:$M$33,$A49)</f>
        <v/>
      </c>
      <c r="J49">
        <f>SUM(H49:I49)</f>
        <v/>
      </c>
      <c r="K49">
        <f>IF(B49&lt;=INDEX(Personnel!$M:$M,MATCH($A49,Personnel!$A:$A,0)),"OK","ΥΠΕΡΒΑΣΗ")</f>
        <v/>
      </c>
      <c r="L49">
        <f>IF(C49&lt;=INDEX(Personnel!$N:$N,MATCH($A49,Personnel!$A:$A,0)),"OK","ΠΟΛΛΑ ΣΚ")</f>
        <v/>
      </c>
    </row>
    <row r="50">
      <c r="A50" t="inlineStr">
        <is>
          <t>Στρατιώτης 049</t>
        </is>
      </c>
      <c r="B50">
        <f>SUM(D50:G50)</f>
        <v/>
      </c>
      <c r="C50">
        <f>COUNTIFS(Schedule!$A$4:$A$33,"Σάββατο",Schedule!$C$4:$C$33,$A50)+COUNTIFS(Schedule!$A$4:$A$33,"Σάββατο",Schedule!$D$4:$D$33,$A50)+COUNTIFS(Schedule!$A$4:$A$33,"Σάββατο",Schedule!$E$4:$E$33,$A50)+COUNTIFS(Schedule!$A$4:$A$33,"Σάββατο",Schedule!$G$4:$G$33,$A50)+COUNTIFS(Schedule!$A$4:$A$33,"Σάββατο",Schedule!$H$4:$H$33,$A50)+COUNTIFS(Schedule!$A$4:$A$33,"Σάββατο",Schedule!$I$4:$I$33,$A50)+COUNTIFS(Schedule!$A$4:$A$33,"Σάββατο",Schedule!$J$4:$J$33,$A50)+COUNTIFS(Schedule!$A$4:$A$33,"Σάββατο",Schedule!$K$4:$K$33,$A50)+COUNTIFS(Schedule!$A$4:$A$33,"Κυριακή",Schedule!$C$4:$C$33,$A50)+COUNTIFS(Schedule!$A$4:$A$33,"Κυριακή",Schedule!$D$4:$D$33,$A50)+COUNTIFS(Schedule!$A$4:$A$33,"Κυριακή",Schedule!$E$4:$E$33,$A50)+COUNTIFS(Schedule!$A$4:$A$33,"Κυριακή",Schedule!$G$4:$G$33,$A50)+COUNTIFS(Schedule!$A$4:$A$33,"Κυριακή",Schedule!$H$4:$H$33,$A50)+COUNTIFS(Schedule!$A$4:$A$33,"Κυριακή",Schedule!$I$4:$I$33,$A50)+COUNTIFS(Schedule!$A$4:$A$33,"Κυριακή",Schedule!$J$4:$J$33,$A50)+COUNTIFS(Schedule!$A$4:$A$33,"Κυριακή",Schedule!$K$4:$K$33,$A50)</f>
        <v/>
      </c>
      <c r="D50">
        <f>COUNTIF(Schedule!$C$4:$C$33,$A50)+COUNTIF(Schedule!$D$4:$D$33,$A50)+COUNTIF(Schedule!$E$4:$E$33,$A50)</f>
        <v/>
      </c>
      <c r="E50">
        <f>COUNTIF(Schedule!$G$4:$G$33,$A50)+COUNTIF(Schedule!$H$4:$H$33,$A50)</f>
        <v/>
      </c>
      <c r="F50">
        <f>COUNTIF(Schedule!$I$4:$I$33,$A50)+COUNTIF(Schedule!$J$4:$J$33,$A50)</f>
        <v/>
      </c>
      <c r="G50">
        <f>COUNTIF(Schedule!$K$4:$K$33,$A50)</f>
        <v/>
      </c>
      <c r="H50">
        <f>COUNTIF(Schedule!$L$4:$L$33,$A50)</f>
        <v/>
      </c>
      <c r="I50">
        <f>COUNTIF(Schedule!$M$4:$M$33,$A50)</f>
        <v/>
      </c>
      <c r="J50">
        <f>SUM(H50:I50)</f>
        <v/>
      </c>
      <c r="K50">
        <f>IF(B50&lt;=INDEX(Personnel!$M:$M,MATCH($A50,Personnel!$A:$A,0)),"OK","ΥΠΕΡΒΑΣΗ")</f>
        <v/>
      </c>
      <c r="L50">
        <f>IF(C50&lt;=INDEX(Personnel!$N:$N,MATCH($A50,Personnel!$A:$A,0)),"OK","ΠΟΛΛΑ ΣΚ")</f>
        <v/>
      </c>
    </row>
    <row r="51">
      <c r="A51" t="inlineStr">
        <is>
          <t>Στρατιώτης 050</t>
        </is>
      </c>
      <c r="B51">
        <f>SUM(D51:G51)</f>
        <v/>
      </c>
      <c r="C51">
        <f>COUNTIFS(Schedule!$A$4:$A$33,"Σάββατο",Schedule!$C$4:$C$33,$A51)+COUNTIFS(Schedule!$A$4:$A$33,"Σάββατο",Schedule!$D$4:$D$33,$A51)+COUNTIFS(Schedule!$A$4:$A$33,"Σάββατο",Schedule!$E$4:$E$33,$A51)+COUNTIFS(Schedule!$A$4:$A$33,"Σάββατο",Schedule!$G$4:$G$33,$A51)+COUNTIFS(Schedule!$A$4:$A$33,"Σάββατο",Schedule!$H$4:$H$33,$A51)+COUNTIFS(Schedule!$A$4:$A$33,"Σάββατο",Schedule!$I$4:$I$33,$A51)+COUNTIFS(Schedule!$A$4:$A$33,"Σάββατο",Schedule!$J$4:$J$33,$A51)+COUNTIFS(Schedule!$A$4:$A$33,"Σάββατο",Schedule!$K$4:$K$33,$A51)+COUNTIFS(Schedule!$A$4:$A$33,"Κυριακή",Schedule!$C$4:$C$33,$A51)+COUNTIFS(Schedule!$A$4:$A$33,"Κυριακή",Schedule!$D$4:$D$33,$A51)+COUNTIFS(Schedule!$A$4:$A$33,"Κυριακή",Schedule!$E$4:$E$33,$A51)+COUNTIFS(Schedule!$A$4:$A$33,"Κυριακή",Schedule!$G$4:$G$33,$A51)+COUNTIFS(Schedule!$A$4:$A$33,"Κυριακή",Schedule!$H$4:$H$33,$A51)+COUNTIFS(Schedule!$A$4:$A$33,"Κυριακή",Schedule!$I$4:$I$33,$A51)+COUNTIFS(Schedule!$A$4:$A$33,"Κυριακή",Schedule!$J$4:$J$33,$A51)+COUNTIFS(Schedule!$A$4:$A$33,"Κυριακή",Schedule!$K$4:$K$33,$A51)</f>
        <v/>
      </c>
      <c r="D51">
        <f>COUNTIF(Schedule!$C$4:$C$33,$A51)+COUNTIF(Schedule!$D$4:$D$33,$A51)+COUNTIF(Schedule!$E$4:$E$33,$A51)</f>
        <v/>
      </c>
      <c r="E51">
        <f>COUNTIF(Schedule!$G$4:$G$33,$A51)+COUNTIF(Schedule!$H$4:$H$33,$A51)</f>
        <v/>
      </c>
      <c r="F51">
        <f>COUNTIF(Schedule!$I$4:$I$33,$A51)+COUNTIF(Schedule!$J$4:$J$33,$A51)</f>
        <v/>
      </c>
      <c r="G51">
        <f>COUNTIF(Schedule!$K$4:$K$33,$A51)</f>
        <v/>
      </c>
      <c r="H51">
        <f>COUNTIF(Schedule!$L$4:$L$33,$A51)</f>
        <v/>
      </c>
      <c r="I51">
        <f>COUNTIF(Schedule!$M$4:$M$33,$A51)</f>
        <v/>
      </c>
      <c r="J51">
        <f>SUM(H51:I51)</f>
        <v/>
      </c>
      <c r="K51">
        <f>IF(B51&lt;=INDEX(Personnel!$M:$M,MATCH($A51,Personnel!$A:$A,0)),"OK","ΥΠΕΡΒΑΣΗ")</f>
        <v/>
      </c>
      <c r="L51">
        <f>IF(C51&lt;=INDEX(Personnel!$N:$N,MATCH($A51,Personnel!$A:$A,0)),"OK","ΠΟΛΛΑ ΣΚ")</f>
        <v/>
      </c>
    </row>
    <row r="52">
      <c r="A52" t="inlineStr">
        <is>
          <t>Στρατιώτης 051</t>
        </is>
      </c>
      <c r="B52">
        <f>SUM(D52:G52)</f>
        <v/>
      </c>
      <c r="C52">
        <f>COUNTIFS(Schedule!$A$4:$A$33,"Σάββατο",Schedule!$C$4:$C$33,$A52)+COUNTIFS(Schedule!$A$4:$A$33,"Σάββατο",Schedule!$D$4:$D$33,$A52)+COUNTIFS(Schedule!$A$4:$A$33,"Σάββατο",Schedule!$E$4:$E$33,$A52)+COUNTIFS(Schedule!$A$4:$A$33,"Σάββατο",Schedule!$G$4:$G$33,$A52)+COUNTIFS(Schedule!$A$4:$A$33,"Σάββατο",Schedule!$H$4:$H$33,$A52)+COUNTIFS(Schedule!$A$4:$A$33,"Σάββατο",Schedule!$I$4:$I$33,$A52)+COUNTIFS(Schedule!$A$4:$A$33,"Σάββατο",Schedule!$J$4:$J$33,$A52)+COUNTIFS(Schedule!$A$4:$A$33,"Σάββατο",Schedule!$K$4:$K$33,$A52)+COUNTIFS(Schedule!$A$4:$A$33,"Κυριακή",Schedule!$C$4:$C$33,$A52)+COUNTIFS(Schedule!$A$4:$A$33,"Κυριακή",Schedule!$D$4:$D$33,$A52)+COUNTIFS(Schedule!$A$4:$A$33,"Κυριακή",Schedule!$E$4:$E$33,$A52)+COUNTIFS(Schedule!$A$4:$A$33,"Κυριακή",Schedule!$G$4:$G$33,$A52)+COUNTIFS(Schedule!$A$4:$A$33,"Κυριακή",Schedule!$H$4:$H$33,$A52)+COUNTIFS(Schedule!$A$4:$A$33,"Κυριακή",Schedule!$I$4:$I$33,$A52)+COUNTIFS(Schedule!$A$4:$A$33,"Κυριακή",Schedule!$J$4:$J$33,$A52)+COUNTIFS(Schedule!$A$4:$A$33,"Κυριακή",Schedule!$K$4:$K$33,$A52)</f>
        <v/>
      </c>
      <c r="D52">
        <f>COUNTIF(Schedule!$C$4:$C$33,$A52)+COUNTIF(Schedule!$D$4:$D$33,$A52)+COUNTIF(Schedule!$E$4:$E$33,$A52)</f>
        <v/>
      </c>
      <c r="E52">
        <f>COUNTIF(Schedule!$G$4:$G$33,$A52)+COUNTIF(Schedule!$H$4:$H$33,$A52)</f>
        <v/>
      </c>
      <c r="F52">
        <f>COUNTIF(Schedule!$I$4:$I$33,$A52)+COUNTIF(Schedule!$J$4:$J$33,$A52)</f>
        <v/>
      </c>
      <c r="G52">
        <f>COUNTIF(Schedule!$K$4:$K$33,$A52)</f>
        <v/>
      </c>
      <c r="H52">
        <f>COUNTIF(Schedule!$L$4:$L$33,$A52)</f>
        <v/>
      </c>
      <c r="I52">
        <f>COUNTIF(Schedule!$M$4:$M$33,$A52)</f>
        <v/>
      </c>
      <c r="J52">
        <f>SUM(H52:I52)</f>
        <v/>
      </c>
      <c r="K52">
        <f>IF(B52&lt;=INDEX(Personnel!$M:$M,MATCH($A52,Personnel!$A:$A,0)),"OK","ΥΠΕΡΒΑΣΗ")</f>
        <v/>
      </c>
      <c r="L52">
        <f>IF(C52&lt;=INDEX(Personnel!$N:$N,MATCH($A52,Personnel!$A:$A,0)),"OK","ΠΟΛΛΑ ΣΚ")</f>
        <v/>
      </c>
    </row>
    <row r="53">
      <c r="A53" t="inlineStr">
        <is>
          <t>Στρατιώτης 052</t>
        </is>
      </c>
      <c r="B53">
        <f>SUM(D53:G53)</f>
        <v/>
      </c>
      <c r="C53">
        <f>COUNTIFS(Schedule!$A$4:$A$33,"Σάββατο",Schedule!$C$4:$C$33,$A53)+COUNTIFS(Schedule!$A$4:$A$33,"Σάββατο",Schedule!$D$4:$D$33,$A53)+COUNTIFS(Schedule!$A$4:$A$33,"Σάββατο",Schedule!$E$4:$E$33,$A53)+COUNTIFS(Schedule!$A$4:$A$33,"Σάββατο",Schedule!$G$4:$G$33,$A53)+COUNTIFS(Schedule!$A$4:$A$33,"Σάββατο",Schedule!$H$4:$H$33,$A53)+COUNTIFS(Schedule!$A$4:$A$33,"Σάββατο",Schedule!$I$4:$I$33,$A53)+COUNTIFS(Schedule!$A$4:$A$33,"Σάββατο",Schedule!$J$4:$J$33,$A53)+COUNTIFS(Schedule!$A$4:$A$33,"Σάββατο",Schedule!$K$4:$K$33,$A53)+COUNTIFS(Schedule!$A$4:$A$33,"Κυριακή",Schedule!$C$4:$C$33,$A53)+COUNTIFS(Schedule!$A$4:$A$33,"Κυριακή",Schedule!$D$4:$D$33,$A53)+COUNTIFS(Schedule!$A$4:$A$33,"Κυριακή",Schedule!$E$4:$E$33,$A53)+COUNTIFS(Schedule!$A$4:$A$33,"Κυριακή",Schedule!$G$4:$G$33,$A53)+COUNTIFS(Schedule!$A$4:$A$33,"Κυριακή",Schedule!$H$4:$H$33,$A53)+COUNTIFS(Schedule!$A$4:$A$33,"Κυριακή",Schedule!$I$4:$I$33,$A53)+COUNTIFS(Schedule!$A$4:$A$33,"Κυριακή",Schedule!$J$4:$J$33,$A53)+COUNTIFS(Schedule!$A$4:$A$33,"Κυριακή",Schedule!$K$4:$K$33,$A53)</f>
        <v/>
      </c>
      <c r="D53">
        <f>COUNTIF(Schedule!$C$4:$C$33,$A53)+COUNTIF(Schedule!$D$4:$D$33,$A53)+COUNTIF(Schedule!$E$4:$E$33,$A53)</f>
        <v/>
      </c>
      <c r="E53">
        <f>COUNTIF(Schedule!$G$4:$G$33,$A53)+COUNTIF(Schedule!$H$4:$H$33,$A53)</f>
        <v/>
      </c>
      <c r="F53">
        <f>COUNTIF(Schedule!$I$4:$I$33,$A53)+COUNTIF(Schedule!$J$4:$J$33,$A53)</f>
        <v/>
      </c>
      <c r="G53">
        <f>COUNTIF(Schedule!$K$4:$K$33,$A53)</f>
        <v/>
      </c>
      <c r="H53">
        <f>COUNTIF(Schedule!$L$4:$L$33,$A53)</f>
        <v/>
      </c>
      <c r="I53">
        <f>COUNTIF(Schedule!$M$4:$M$33,$A53)</f>
        <v/>
      </c>
      <c r="J53">
        <f>SUM(H53:I53)</f>
        <v/>
      </c>
      <c r="K53">
        <f>IF(B53&lt;=INDEX(Personnel!$M:$M,MATCH($A53,Personnel!$A:$A,0)),"OK","ΥΠΕΡΒΑΣΗ")</f>
        <v/>
      </c>
      <c r="L53">
        <f>IF(C53&lt;=INDEX(Personnel!$N:$N,MATCH($A53,Personnel!$A:$A,0)),"OK","ΠΟΛΛΑ ΣΚ")</f>
        <v/>
      </c>
    </row>
    <row r="54">
      <c r="A54" t="inlineStr">
        <is>
          <t>Στρατιώτης 053</t>
        </is>
      </c>
      <c r="B54">
        <f>SUM(D54:G54)</f>
        <v/>
      </c>
      <c r="C54">
        <f>COUNTIFS(Schedule!$A$4:$A$33,"Σάββατο",Schedule!$C$4:$C$33,$A54)+COUNTIFS(Schedule!$A$4:$A$33,"Σάββατο",Schedule!$D$4:$D$33,$A54)+COUNTIFS(Schedule!$A$4:$A$33,"Σάββατο",Schedule!$E$4:$E$33,$A54)+COUNTIFS(Schedule!$A$4:$A$33,"Σάββατο",Schedule!$G$4:$G$33,$A54)+COUNTIFS(Schedule!$A$4:$A$33,"Σάββατο",Schedule!$H$4:$H$33,$A54)+COUNTIFS(Schedule!$A$4:$A$33,"Σάββατο",Schedule!$I$4:$I$33,$A54)+COUNTIFS(Schedule!$A$4:$A$33,"Σάββατο",Schedule!$J$4:$J$33,$A54)+COUNTIFS(Schedule!$A$4:$A$33,"Σάββατο",Schedule!$K$4:$K$33,$A54)+COUNTIFS(Schedule!$A$4:$A$33,"Κυριακή",Schedule!$C$4:$C$33,$A54)+COUNTIFS(Schedule!$A$4:$A$33,"Κυριακή",Schedule!$D$4:$D$33,$A54)+COUNTIFS(Schedule!$A$4:$A$33,"Κυριακή",Schedule!$E$4:$E$33,$A54)+COUNTIFS(Schedule!$A$4:$A$33,"Κυριακή",Schedule!$G$4:$G$33,$A54)+COUNTIFS(Schedule!$A$4:$A$33,"Κυριακή",Schedule!$H$4:$H$33,$A54)+COUNTIFS(Schedule!$A$4:$A$33,"Κυριακή",Schedule!$I$4:$I$33,$A54)+COUNTIFS(Schedule!$A$4:$A$33,"Κυριακή",Schedule!$J$4:$J$33,$A54)+COUNTIFS(Schedule!$A$4:$A$33,"Κυριακή",Schedule!$K$4:$K$33,$A54)</f>
        <v/>
      </c>
      <c r="D54">
        <f>COUNTIF(Schedule!$C$4:$C$33,$A54)+COUNTIF(Schedule!$D$4:$D$33,$A54)+COUNTIF(Schedule!$E$4:$E$33,$A54)</f>
        <v/>
      </c>
      <c r="E54">
        <f>COUNTIF(Schedule!$G$4:$G$33,$A54)+COUNTIF(Schedule!$H$4:$H$33,$A54)</f>
        <v/>
      </c>
      <c r="F54">
        <f>COUNTIF(Schedule!$I$4:$I$33,$A54)+COUNTIF(Schedule!$J$4:$J$33,$A54)</f>
        <v/>
      </c>
      <c r="G54">
        <f>COUNTIF(Schedule!$K$4:$K$33,$A54)</f>
        <v/>
      </c>
      <c r="H54">
        <f>COUNTIF(Schedule!$L$4:$L$33,$A54)</f>
        <v/>
      </c>
      <c r="I54">
        <f>COUNTIF(Schedule!$M$4:$M$33,$A54)</f>
        <v/>
      </c>
      <c r="J54">
        <f>SUM(H54:I54)</f>
        <v/>
      </c>
      <c r="K54">
        <f>IF(B54&lt;=INDEX(Personnel!$M:$M,MATCH($A54,Personnel!$A:$A,0)),"OK","ΥΠΕΡΒΑΣΗ")</f>
        <v/>
      </c>
      <c r="L54">
        <f>IF(C54&lt;=INDEX(Personnel!$N:$N,MATCH($A54,Personnel!$A:$A,0)),"OK","ΠΟΛΛΑ ΣΚ")</f>
        <v/>
      </c>
    </row>
    <row r="55">
      <c r="A55" t="inlineStr">
        <is>
          <t>Στρατιώτης 054</t>
        </is>
      </c>
      <c r="B55">
        <f>SUM(D55:G55)</f>
        <v/>
      </c>
      <c r="C55">
        <f>COUNTIFS(Schedule!$A$4:$A$33,"Σάββατο",Schedule!$C$4:$C$33,$A55)+COUNTIFS(Schedule!$A$4:$A$33,"Σάββατο",Schedule!$D$4:$D$33,$A55)+COUNTIFS(Schedule!$A$4:$A$33,"Σάββατο",Schedule!$E$4:$E$33,$A55)+COUNTIFS(Schedule!$A$4:$A$33,"Σάββατο",Schedule!$G$4:$G$33,$A55)+COUNTIFS(Schedule!$A$4:$A$33,"Σάββατο",Schedule!$H$4:$H$33,$A55)+COUNTIFS(Schedule!$A$4:$A$33,"Σάββατο",Schedule!$I$4:$I$33,$A55)+COUNTIFS(Schedule!$A$4:$A$33,"Σάββατο",Schedule!$J$4:$J$33,$A55)+COUNTIFS(Schedule!$A$4:$A$33,"Σάββατο",Schedule!$K$4:$K$33,$A55)+COUNTIFS(Schedule!$A$4:$A$33,"Κυριακή",Schedule!$C$4:$C$33,$A55)+COUNTIFS(Schedule!$A$4:$A$33,"Κυριακή",Schedule!$D$4:$D$33,$A55)+COUNTIFS(Schedule!$A$4:$A$33,"Κυριακή",Schedule!$E$4:$E$33,$A55)+COUNTIFS(Schedule!$A$4:$A$33,"Κυριακή",Schedule!$G$4:$G$33,$A55)+COUNTIFS(Schedule!$A$4:$A$33,"Κυριακή",Schedule!$H$4:$H$33,$A55)+COUNTIFS(Schedule!$A$4:$A$33,"Κυριακή",Schedule!$I$4:$I$33,$A55)+COUNTIFS(Schedule!$A$4:$A$33,"Κυριακή",Schedule!$J$4:$J$33,$A55)+COUNTIFS(Schedule!$A$4:$A$33,"Κυριακή",Schedule!$K$4:$K$33,$A55)</f>
        <v/>
      </c>
      <c r="D55">
        <f>COUNTIF(Schedule!$C$4:$C$33,$A55)+COUNTIF(Schedule!$D$4:$D$33,$A55)+COUNTIF(Schedule!$E$4:$E$33,$A55)</f>
        <v/>
      </c>
      <c r="E55">
        <f>COUNTIF(Schedule!$G$4:$G$33,$A55)+COUNTIF(Schedule!$H$4:$H$33,$A55)</f>
        <v/>
      </c>
      <c r="F55">
        <f>COUNTIF(Schedule!$I$4:$I$33,$A55)+COUNTIF(Schedule!$J$4:$J$33,$A55)</f>
        <v/>
      </c>
      <c r="G55">
        <f>COUNTIF(Schedule!$K$4:$K$33,$A55)</f>
        <v/>
      </c>
      <c r="H55">
        <f>COUNTIF(Schedule!$L$4:$L$33,$A55)</f>
        <v/>
      </c>
      <c r="I55">
        <f>COUNTIF(Schedule!$M$4:$M$33,$A55)</f>
        <v/>
      </c>
      <c r="J55">
        <f>SUM(H55:I55)</f>
        <v/>
      </c>
      <c r="K55">
        <f>IF(B55&lt;=INDEX(Personnel!$M:$M,MATCH($A55,Personnel!$A:$A,0)),"OK","ΥΠΕΡΒΑΣΗ")</f>
        <v/>
      </c>
      <c r="L55">
        <f>IF(C55&lt;=INDEX(Personnel!$N:$N,MATCH($A55,Personnel!$A:$A,0)),"OK","ΠΟΛΛΑ ΣΚ")</f>
        <v/>
      </c>
    </row>
    <row r="56">
      <c r="A56" t="inlineStr">
        <is>
          <t>Στρατιώτης 055</t>
        </is>
      </c>
      <c r="B56">
        <f>SUM(D56:G56)</f>
        <v/>
      </c>
      <c r="C56">
        <f>COUNTIFS(Schedule!$A$4:$A$33,"Σάββατο",Schedule!$C$4:$C$33,$A56)+COUNTIFS(Schedule!$A$4:$A$33,"Σάββατο",Schedule!$D$4:$D$33,$A56)+COUNTIFS(Schedule!$A$4:$A$33,"Σάββατο",Schedule!$E$4:$E$33,$A56)+COUNTIFS(Schedule!$A$4:$A$33,"Σάββατο",Schedule!$G$4:$G$33,$A56)+COUNTIFS(Schedule!$A$4:$A$33,"Σάββατο",Schedule!$H$4:$H$33,$A56)+COUNTIFS(Schedule!$A$4:$A$33,"Σάββατο",Schedule!$I$4:$I$33,$A56)+COUNTIFS(Schedule!$A$4:$A$33,"Σάββατο",Schedule!$J$4:$J$33,$A56)+COUNTIFS(Schedule!$A$4:$A$33,"Σάββατο",Schedule!$K$4:$K$33,$A56)+COUNTIFS(Schedule!$A$4:$A$33,"Κυριακή",Schedule!$C$4:$C$33,$A56)+COUNTIFS(Schedule!$A$4:$A$33,"Κυριακή",Schedule!$D$4:$D$33,$A56)+COUNTIFS(Schedule!$A$4:$A$33,"Κυριακή",Schedule!$E$4:$E$33,$A56)+COUNTIFS(Schedule!$A$4:$A$33,"Κυριακή",Schedule!$G$4:$G$33,$A56)+COUNTIFS(Schedule!$A$4:$A$33,"Κυριακή",Schedule!$H$4:$H$33,$A56)+COUNTIFS(Schedule!$A$4:$A$33,"Κυριακή",Schedule!$I$4:$I$33,$A56)+COUNTIFS(Schedule!$A$4:$A$33,"Κυριακή",Schedule!$J$4:$J$33,$A56)+COUNTIFS(Schedule!$A$4:$A$33,"Κυριακή",Schedule!$K$4:$K$33,$A56)</f>
        <v/>
      </c>
      <c r="D56">
        <f>COUNTIF(Schedule!$C$4:$C$33,$A56)+COUNTIF(Schedule!$D$4:$D$33,$A56)+COUNTIF(Schedule!$E$4:$E$33,$A56)</f>
        <v/>
      </c>
      <c r="E56">
        <f>COUNTIF(Schedule!$G$4:$G$33,$A56)+COUNTIF(Schedule!$H$4:$H$33,$A56)</f>
        <v/>
      </c>
      <c r="F56">
        <f>COUNTIF(Schedule!$I$4:$I$33,$A56)+COUNTIF(Schedule!$J$4:$J$33,$A56)</f>
        <v/>
      </c>
      <c r="G56">
        <f>COUNTIF(Schedule!$K$4:$K$33,$A56)</f>
        <v/>
      </c>
      <c r="H56">
        <f>COUNTIF(Schedule!$L$4:$L$33,$A56)</f>
        <v/>
      </c>
      <c r="I56">
        <f>COUNTIF(Schedule!$M$4:$M$33,$A56)</f>
        <v/>
      </c>
      <c r="J56">
        <f>SUM(H56:I56)</f>
        <v/>
      </c>
      <c r="K56">
        <f>IF(B56&lt;=INDEX(Personnel!$M:$M,MATCH($A56,Personnel!$A:$A,0)),"OK","ΥΠΕΡΒΑΣΗ")</f>
        <v/>
      </c>
      <c r="L56">
        <f>IF(C56&lt;=INDEX(Personnel!$N:$N,MATCH($A56,Personnel!$A:$A,0)),"OK","ΠΟΛΛΑ ΣΚ")</f>
        <v/>
      </c>
    </row>
    <row r="57">
      <c r="A57" t="inlineStr">
        <is>
          <t>Στρατιώτης 056</t>
        </is>
      </c>
      <c r="B57">
        <f>SUM(D57:G57)</f>
        <v/>
      </c>
      <c r="C57">
        <f>COUNTIFS(Schedule!$A$4:$A$33,"Σάββατο",Schedule!$C$4:$C$33,$A57)+COUNTIFS(Schedule!$A$4:$A$33,"Σάββατο",Schedule!$D$4:$D$33,$A57)+COUNTIFS(Schedule!$A$4:$A$33,"Σάββατο",Schedule!$E$4:$E$33,$A57)+COUNTIFS(Schedule!$A$4:$A$33,"Σάββατο",Schedule!$G$4:$G$33,$A57)+COUNTIFS(Schedule!$A$4:$A$33,"Σάββατο",Schedule!$H$4:$H$33,$A57)+COUNTIFS(Schedule!$A$4:$A$33,"Σάββατο",Schedule!$I$4:$I$33,$A57)+COUNTIFS(Schedule!$A$4:$A$33,"Σάββατο",Schedule!$J$4:$J$33,$A57)+COUNTIFS(Schedule!$A$4:$A$33,"Σάββατο",Schedule!$K$4:$K$33,$A57)+COUNTIFS(Schedule!$A$4:$A$33,"Κυριακή",Schedule!$C$4:$C$33,$A57)+COUNTIFS(Schedule!$A$4:$A$33,"Κυριακή",Schedule!$D$4:$D$33,$A57)+COUNTIFS(Schedule!$A$4:$A$33,"Κυριακή",Schedule!$E$4:$E$33,$A57)+COUNTIFS(Schedule!$A$4:$A$33,"Κυριακή",Schedule!$G$4:$G$33,$A57)+COUNTIFS(Schedule!$A$4:$A$33,"Κυριακή",Schedule!$H$4:$H$33,$A57)+COUNTIFS(Schedule!$A$4:$A$33,"Κυριακή",Schedule!$I$4:$I$33,$A57)+COUNTIFS(Schedule!$A$4:$A$33,"Κυριακή",Schedule!$J$4:$J$33,$A57)+COUNTIFS(Schedule!$A$4:$A$33,"Κυριακή",Schedule!$K$4:$K$33,$A57)</f>
        <v/>
      </c>
      <c r="D57">
        <f>COUNTIF(Schedule!$C$4:$C$33,$A57)+COUNTIF(Schedule!$D$4:$D$33,$A57)+COUNTIF(Schedule!$E$4:$E$33,$A57)</f>
        <v/>
      </c>
      <c r="E57">
        <f>COUNTIF(Schedule!$G$4:$G$33,$A57)+COUNTIF(Schedule!$H$4:$H$33,$A57)</f>
        <v/>
      </c>
      <c r="F57">
        <f>COUNTIF(Schedule!$I$4:$I$33,$A57)+COUNTIF(Schedule!$J$4:$J$33,$A57)</f>
        <v/>
      </c>
      <c r="G57">
        <f>COUNTIF(Schedule!$K$4:$K$33,$A57)</f>
        <v/>
      </c>
      <c r="H57">
        <f>COUNTIF(Schedule!$L$4:$L$33,$A57)</f>
        <v/>
      </c>
      <c r="I57">
        <f>COUNTIF(Schedule!$M$4:$M$33,$A57)</f>
        <v/>
      </c>
      <c r="J57">
        <f>SUM(H57:I57)</f>
        <v/>
      </c>
      <c r="K57">
        <f>IF(B57&lt;=INDEX(Personnel!$M:$M,MATCH($A57,Personnel!$A:$A,0)),"OK","ΥΠΕΡΒΑΣΗ")</f>
        <v/>
      </c>
      <c r="L57">
        <f>IF(C57&lt;=INDEX(Personnel!$N:$N,MATCH($A57,Personnel!$A:$A,0)),"OK","ΠΟΛΛΑ ΣΚ")</f>
        <v/>
      </c>
    </row>
    <row r="58">
      <c r="A58" t="inlineStr">
        <is>
          <t>Στρατιώτης 057</t>
        </is>
      </c>
      <c r="B58">
        <f>SUM(D58:G58)</f>
        <v/>
      </c>
      <c r="C58">
        <f>COUNTIFS(Schedule!$A$4:$A$33,"Σάββατο",Schedule!$C$4:$C$33,$A58)+COUNTIFS(Schedule!$A$4:$A$33,"Σάββατο",Schedule!$D$4:$D$33,$A58)+COUNTIFS(Schedule!$A$4:$A$33,"Σάββατο",Schedule!$E$4:$E$33,$A58)+COUNTIFS(Schedule!$A$4:$A$33,"Σάββατο",Schedule!$G$4:$G$33,$A58)+COUNTIFS(Schedule!$A$4:$A$33,"Σάββατο",Schedule!$H$4:$H$33,$A58)+COUNTIFS(Schedule!$A$4:$A$33,"Σάββατο",Schedule!$I$4:$I$33,$A58)+COUNTIFS(Schedule!$A$4:$A$33,"Σάββατο",Schedule!$J$4:$J$33,$A58)+COUNTIFS(Schedule!$A$4:$A$33,"Σάββατο",Schedule!$K$4:$K$33,$A58)+COUNTIFS(Schedule!$A$4:$A$33,"Κυριακή",Schedule!$C$4:$C$33,$A58)+COUNTIFS(Schedule!$A$4:$A$33,"Κυριακή",Schedule!$D$4:$D$33,$A58)+COUNTIFS(Schedule!$A$4:$A$33,"Κυριακή",Schedule!$E$4:$E$33,$A58)+COUNTIFS(Schedule!$A$4:$A$33,"Κυριακή",Schedule!$G$4:$G$33,$A58)+COUNTIFS(Schedule!$A$4:$A$33,"Κυριακή",Schedule!$H$4:$H$33,$A58)+COUNTIFS(Schedule!$A$4:$A$33,"Κυριακή",Schedule!$I$4:$I$33,$A58)+COUNTIFS(Schedule!$A$4:$A$33,"Κυριακή",Schedule!$J$4:$J$33,$A58)+COUNTIFS(Schedule!$A$4:$A$33,"Κυριακή",Schedule!$K$4:$K$33,$A58)</f>
        <v/>
      </c>
      <c r="D58">
        <f>COUNTIF(Schedule!$C$4:$C$33,$A58)+COUNTIF(Schedule!$D$4:$D$33,$A58)+COUNTIF(Schedule!$E$4:$E$33,$A58)</f>
        <v/>
      </c>
      <c r="E58">
        <f>COUNTIF(Schedule!$G$4:$G$33,$A58)+COUNTIF(Schedule!$H$4:$H$33,$A58)</f>
        <v/>
      </c>
      <c r="F58">
        <f>COUNTIF(Schedule!$I$4:$I$33,$A58)+COUNTIF(Schedule!$J$4:$J$33,$A58)</f>
        <v/>
      </c>
      <c r="G58">
        <f>COUNTIF(Schedule!$K$4:$K$33,$A58)</f>
        <v/>
      </c>
      <c r="H58">
        <f>COUNTIF(Schedule!$L$4:$L$33,$A58)</f>
        <v/>
      </c>
      <c r="I58">
        <f>COUNTIF(Schedule!$M$4:$M$33,$A58)</f>
        <v/>
      </c>
      <c r="J58">
        <f>SUM(H58:I58)</f>
        <v/>
      </c>
      <c r="K58">
        <f>IF(B58&lt;=INDEX(Personnel!$M:$M,MATCH($A58,Personnel!$A:$A,0)),"OK","ΥΠΕΡΒΑΣΗ")</f>
        <v/>
      </c>
      <c r="L58">
        <f>IF(C58&lt;=INDEX(Personnel!$N:$N,MATCH($A58,Personnel!$A:$A,0)),"OK","ΠΟΛΛΑ ΣΚ")</f>
        <v/>
      </c>
    </row>
    <row r="59">
      <c r="A59" t="inlineStr">
        <is>
          <t>Στρατιώτης 058</t>
        </is>
      </c>
      <c r="B59">
        <f>SUM(D59:G59)</f>
        <v/>
      </c>
      <c r="C59">
        <f>COUNTIFS(Schedule!$A$4:$A$33,"Σάββατο",Schedule!$C$4:$C$33,$A59)+COUNTIFS(Schedule!$A$4:$A$33,"Σάββατο",Schedule!$D$4:$D$33,$A59)+COUNTIFS(Schedule!$A$4:$A$33,"Σάββατο",Schedule!$E$4:$E$33,$A59)+COUNTIFS(Schedule!$A$4:$A$33,"Σάββατο",Schedule!$G$4:$G$33,$A59)+COUNTIFS(Schedule!$A$4:$A$33,"Σάββατο",Schedule!$H$4:$H$33,$A59)+COUNTIFS(Schedule!$A$4:$A$33,"Σάββατο",Schedule!$I$4:$I$33,$A59)+COUNTIFS(Schedule!$A$4:$A$33,"Σάββατο",Schedule!$J$4:$J$33,$A59)+COUNTIFS(Schedule!$A$4:$A$33,"Σάββατο",Schedule!$K$4:$K$33,$A59)+COUNTIFS(Schedule!$A$4:$A$33,"Κυριακή",Schedule!$C$4:$C$33,$A59)+COUNTIFS(Schedule!$A$4:$A$33,"Κυριακή",Schedule!$D$4:$D$33,$A59)+COUNTIFS(Schedule!$A$4:$A$33,"Κυριακή",Schedule!$E$4:$E$33,$A59)+COUNTIFS(Schedule!$A$4:$A$33,"Κυριακή",Schedule!$G$4:$G$33,$A59)+COUNTIFS(Schedule!$A$4:$A$33,"Κυριακή",Schedule!$H$4:$H$33,$A59)+COUNTIFS(Schedule!$A$4:$A$33,"Κυριακή",Schedule!$I$4:$I$33,$A59)+COUNTIFS(Schedule!$A$4:$A$33,"Κυριακή",Schedule!$J$4:$J$33,$A59)+COUNTIFS(Schedule!$A$4:$A$33,"Κυριακή",Schedule!$K$4:$K$33,$A59)</f>
        <v/>
      </c>
      <c r="D59">
        <f>COUNTIF(Schedule!$C$4:$C$33,$A59)+COUNTIF(Schedule!$D$4:$D$33,$A59)+COUNTIF(Schedule!$E$4:$E$33,$A59)</f>
        <v/>
      </c>
      <c r="E59">
        <f>COUNTIF(Schedule!$G$4:$G$33,$A59)+COUNTIF(Schedule!$H$4:$H$33,$A59)</f>
        <v/>
      </c>
      <c r="F59">
        <f>COUNTIF(Schedule!$I$4:$I$33,$A59)+COUNTIF(Schedule!$J$4:$J$33,$A59)</f>
        <v/>
      </c>
      <c r="G59">
        <f>COUNTIF(Schedule!$K$4:$K$33,$A59)</f>
        <v/>
      </c>
      <c r="H59">
        <f>COUNTIF(Schedule!$L$4:$L$33,$A59)</f>
        <v/>
      </c>
      <c r="I59">
        <f>COUNTIF(Schedule!$M$4:$M$33,$A59)</f>
        <v/>
      </c>
      <c r="J59">
        <f>SUM(H59:I59)</f>
        <v/>
      </c>
      <c r="K59">
        <f>IF(B59&lt;=INDEX(Personnel!$M:$M,MATCH($A59,Personnel!$A:$A,0)),"OK","ΥΠΕΡΒΑΣΗ")</f>
        <v/>
      </c>
      <c r="L59">
        <f>IF(C59&lt;=INDEX(Personnel!$N:$N,MATCH($A59,Personnel!$A:$A,0)),"OK","ΠΟΛΛΑ ΣΚ")</f>
        <v/>
      </c>
    </row>
    <row r="60">
      <c r="A60" t="inlineStr">
        <is>
          <t>Στρατιώτης 059</t>
        </is>
      </c>
      <c r="B60">
        <f>SUM(D60:G60)</f>
        <v/>
      </c>
      <c r="C60">
        <f>COUNTIFS(Schedule!$A$4:$A$33,"Σάββατο",Schedule!$C$4:$C$33,$A60)+COUNTIFS(Schedule!$A$4:$A$33,"Σάββατο",Schedule!$D$4:$D$33,$A60)+COUNTIFS(Schedule!$A$4:$A$33,"Σάββατο",Schedule!$E$4:$E$33,$A60)+COUNTIFS(Schedule!$A$4:$A$33,"Σάββατο",Schedule!$G$4:$G$33,$A60)+COUNTIFS(Schedule!$A$4:$A$33,"Σάββατο",Schedule!$H$4:$H$33,$A60)+COUNTIFS(Schedule!$A$4:$A$33,"Σάββατο",Schedule!$I$4:$I$33,$A60)+COUNTIFS(Schedule!$A$4:$A$33,"Σάββατο",Schedule!$J$4:$J$33,$A60)+COUNTIFS(Schedule!$A$4:$A$33,"Σάββατο",Schedule!$K$4:$K$33,$A60)+COUNTIFS(Schedule!$A$4:$A$33,"Κυριακή",Schedule!$C$4:$C$33,$A60)+COUNTIFS(Schedule!$A$4:$A$33,"Κυριακή",Schedule!$D$4:$D$33,$A60)+COUNTIFS(Schedule!$A$4:$A$33,"Κυριακή",Schedule!$E$4:$E$33,$A60)+COUNTIFS(Schedule!$A$4:$A$33,"Κυριακή",Schedule!$G$4:$G$33,$A60)+COUNTIFS(Schedule!$A$4:$A$33,"Κυριακή",Schedule!$H$4:$H$33,$A60)+COUNTIFS(Schedule!$A$4:$A$33,"Κυριακή",Schedule!$I$4:$I$33,$A60)+COUNTIFS(Schedule!$A$4:$A$33,"Κυριακή",Schedule!$J$4:$J$33,$A60)+COUNTIFS(Schedule!$A$4:$A$33,"Κυριακή",Schedule!$K$4:$K$33,$A60)</f>
        <v/>
      </c>
      <c r="D60">
        <f>COUNTIF(Schedule!$C$4:$C$33,$A60)+COUNTIF(Schedule!$D$4:$D$33,$A60)+COUNTIF(Schedule!$E$4:$E$33,$A60)</f>
        <v/>
      </c>
      <c r="E60">
        <f>COUNTIF(Schedule!$G$4:$G$33,$A60)+COUNTIF(Schedule!$H$4:$H$33,$A60)</f>
        <v/>
      </c>
      <c r="F60">
        <f>COUNTIF(Schedule!$I$4:$I$33,$A60)+COUNTIF(Schedule!$J$4:$J$33,$A60)</f>
        <v/>
      </c>
      <c r="G60">
        <f>COUNTIF(Schedule!$K$4:$K$33,$A60)</f>
        <v/>
      </c>
      <c r="H60">
        <f>COUNTIF(Schedule!$L$4:$L$33,$A60)</f>
        <v/>
      </c>
      <c r="I60">
        <f>COUNTIF(Schedule!$M$4:$M$33,$A60)</f>
        <v/>
      </c>
      <c r="J60">
        <f>SUM(H60:I60)</f>
        <v/>
      </c>
      <c r="K60">
        <f>IF(B60&lt;=INDEX(Personnel!$M:$M,MATCH($A60,Personnel!$A:$A,0)),"OK","ΥΠΕΡΒΑΣΗ")</f>
        <v/>
      </c>
      <c r="L60">
        <f>IF(C60&lt;=INDEX(Personnel!$N:$N,MATCH($A60,Personnel!$A:$A,0)),"OK","ΠΟΛΛΑ ΣΚ")</f>
        <v/>
      </c>
    </row>
    <row r="61">
      <c r="A61" t="inlineStr">
        <is>
          <t>Στρατιώτης 060</t>
        </is>
      </c>
      <c r="B61">
        <f>SUM(D61:G61)</f>
        <v/>
      </c>
      <c r="C61">
        <f>COUNTIFS(Schedule!$A$4:$A$33,"Σάββατο",Schedule!$C$4:$C$33,$A61)+COUNTIFS(Schedule!$A$4:$A$33,"Σάββατο",Schedule!$D$4:$D$33,$A61)+COUNTIFS(Schedule!$A$4:$A$33,"Σάββατο",Schedule!$E$4:$E$33,$A61)+COUNTIFS(Schedule!$A$4:$A$33,"Σάββατο",Schedule!$G$4:$G$33,$A61)+COUNTIFS(Schedule!$A$4:$A$33,"Σάββατο",Schedule!$H$4:$H$33,$A61)+COUNTIFS(Schedule!$A$4:$A$33,"Σάββατο",Schedule!$I$4:$I$33,$A61)+COUNTIFS(Schedule!$A$4:$A$33,"Σάββατο",Schedule!$J$4:$J$33,$A61)+COUNTIFS(Schedule!$A$4:$A$33,"Σάββατο",Schedule!$K$4:$K$33,$A61)+COUNTIFS(Schedule!$A$4:$A$33,"Κυριακή",Schedule!$C$4:$C$33,$A61)+COUNTIFS(Schedule!$A$4:$A$33,"Κυριακή",Schedule!$D$4:$D$33,$A61)+COUNTIFS(Schedule!$A$4:$A$33,"Κυριακή",Schedule!$E$4:$E$33,$A61)+COUNTIFS(Schedule!$A$4:$A$33,"Κυριακή",Schedule!$G$4:$G$33,$A61)+COUNTIFS(Schedule!$A$4:$A$33,"Κυριακή",Schedule!$H$4:$H$33,$A61)+COUNTIFS(Schedule!$A$4:$A$33,"Κυριακή",Schedule!$I$4:$I$33,$A61)+COUNTIFS(Schedule!$A$4:$A$33,"Κυριακή",Schedule!$J$4:$J$33,$A61)+COUNTIFS(Schedule!$A$4:$A$33,"Κυριακή",Schedule!$K$4:$K$33,$A61)</f>
        <v/>
      </c>
      <c r="D61">
        <f>COUNTIF(Schedule!$C$4:$C$33,$A61)+COUNTIF(Schedule!$D$4:$D$33,$A61)+COUNTIF(Schedule!$E$4:$E$33,$A61)</f>
        <v/>
      </c>
      <c r="E61">
        <f>COUNTIF(Schedule!$G$4:$G$33,$A61)+COUNTIF(Schedule!$H$4:$H$33,$A61)</f>
        <v/>
      </c>
      <c r="F61">
        <f>COUNTIF(Schedule!$I$4:$I$33,$A61)+COUNTIF(Schedule!$J$4:$J$33,$A61)</f>
        <v/>
      </c>
      <c r="G61">
        <f>COUNTIF(Schedule!$K$4:$K$33,$A61)</f>
        <v/>
      </c>
      <c r="H61">
        <f>COUNTIF(Schedule!$L$4:$L$33,$A61)</f>
        <v/>
      </c>
      <c r="I61">
        <f>COUNTIF(Schedule!$M$4:$M$33,$A61)</f>
        <v/>
      </c>
      <c r="J61">
        <f>SUM(H61:I61)</f>
        <v/>
      </c>
      <c r="K61">
        <f>IF(B61&lt;=INDEX(Personnel!$M:$M,MATCH($A61,Personnel!$A:$A,0)),"OK","ΥΠΕΡΒΑΣΗ")</f>
        <v/>
      </c>
      <c r="L61">
        <f>IF(C61&lt;=INDEX(Personnel!$N:$N,MATCH($A61,Personnel!$A:$A,0)),"OK","ΠΟΛΛΑ ΣΚ")</f>
        <v/>
      </c>
    </row>
    <row r="62">
      <c r="A62" t="inlineStr">
        <is>
          <t>Στρατιώτης 061</t>
        </is>
      </c>
      <c r="B62">
        <f>SUM(D62:G62)</f>
        <v/>
      </c>
      <c r="C62">
        <f>COUNTIFS(Schedule!$A$4:$A$33,"Σάββατο",Schedule!$C$4:$C$33,$A62)+COUNTIFS(Schedule!$A$4:$A$33,"Σάββατο",Schedule!$D$4:$D$33,$A62)+COUNTIFS(Schedule!$A$4:$A$33,"Σάββατο",Schedule!$E$4:$E$33,$A62)+COUNTIFS(Schedule!$A$4:$A$33,"Σάββατο",Schedule!$G$4:$G$33,$A62)+COUNTIFS(Schedule!$A$4:$A$33,"Σάββατο",Schedule!$H$4:$H$33,$A62)+COUNTIFS(Schedule!$A$4:$A$33,"Σάββατο",Schedule!$I$4:$I$33,$A62)+COUNTIFS(Schedule!$A$4:$A$33,"Σάββατο",Schedule!$J$4:$J$33,$A62)+COUNTIFS(Schedule!$A$4:$A$33,"Σάββατο",Schedule!$K$4:$K$33,$A62)+COUNTIFS(Schedule!$A$4:$A$33,"Κυριακή",Schedule!$C$4:$C$33,$A62)+COUNTIFS(Schedule!$A$4:$A$33,"Κυριακή",Schedule!$D$4:$D$33,$A62)+COUNTIFS(Schedule!$A$4:$A$33,"Κυριακή",Schedule!$E$4:$E$33,$A62)+COUNTIFS(Schedule!$A$4:$A$33,"Κυριακή",Schedule!$G$4:$G$33,$A62)+COUNTIFS(Schedule!$A$4:$A$33,"Κυριακή",Schedule!$H$4:$H$33,$A62)+COUNTIFS(Schedule!$A$4:$A$33,"Κυριακή",Schedule!$I$4:$I$33,$A62)+COUNTIFS(Schedule!$A$4:$A$33,"Κυριακή",Schedule!$J$4:$J$33,$A62)+COUNTIFS(Schedule!$A$4:$A$33,"Κυριακή",Schedule!$K$4:$K$33,$A62)</f>
        <v/>
      </c>
      <c r="D62">
        <f>COUNTIF(Schedule!$C$4:$C$33,$A62)+COUNTIF(Schedule!$D$4:$D$33,$A62)+COUNTIF(Schedule!$E$4:$E$33,$A62)</f>
        <v/>
      </c>
      <c r="E62">
        <f>COUNTIF(Schedule!$G$4:$G$33,$A62)+COUNTIF(Schedule!$H$4:$H$33,$A62)</f>
        <v/>
      </c>
      <c r="F62">
        <f>COUNTIF(Schedule!$I$4:$I$33,$A62)+COUNTIF(Schedule!$J$4:$J$33,$A62)</f>
        <v/>
      </c>
      <c r="G62">
        <f>COUNTIF(Schedule!$K$4:$K$33,$A62)</f>
        <v/>
      </c>
      <c r="H62">
        <f>COUNTIF(Schedule!$L$4:$L$33,$A62)</f>
        <v/>
      </c>
      <c r="I62">
        <f>COUNTIF(Schedule!$M$4:$M$33,$A62)</f>
        <v/>
      </c>
      <c r="J62">
        <f>SUM(H62:I62)</f>
        <v/>
      </c>
      <c r="K62">
        <f>IF(B62&lt;=INDEX(Personnel!$M:$M,MATCH($A62,Personnel!$A:$A,0)),"OK","ΥΠΕΡΒΑΣΗ")</f>
        <v/>
      </c>
      <c r="L62">
        <f>IF(C62&lt;=INDEX(Personnel!$N:$N,MATCH($A62,Personnel!$A:$A,0)),"OK","ΠΟΛΛΑ ΣΚ")</f>
        <v/>
      </c>
    </row>
    <row r="63">
      <c r="A63" t="inlineStr">
        <is>
          <t>Στρατιώτης 062</t>
        </is>
      </c>
      <c r="B63">
        <f>SUM(D63:G63)</f>
        <v/>
      </c>
      <c r="C63">
        <f>COUNTIFS(Schedule!$A$4:$A$33,"Σάββατο",Schedule!$C$4:$C$33,$A63)+COUNTIFS(Schedule!$A$4:$A$33,"Σάββατο",Schedule!$D$4:$D$33,$A63)+COUNTIFS(Schedule!$A$4:$A$33,"Σάββατο",Schedule!$E$4:$E$33,$A63)+COUNTIFS(Schedule!$A$4:$A$33,"Σάββατο",Schedule!$G$4:$G$33,$A63)+COUNTIFS(Schedule!$A$4:$A$33,"Σάββατο",Schedule!$H$4:$H$33,$A63)+COUNTIFS(Schedule!$A$4:$A$33,"Σάββατο",Schedule!$I$4:$I$33,$A63)+COUNTIFS(Schedule!$A$4:$A$33,"Σάββατο",Schedule!$J$4:$J$33,$A63)+COUNTIFS(Schedule!$A$4:$A$33,"Σάββατο",Schedule!$K$4:$K$33,$A63)+COUNTIFS(Schedule!$A$4:$A$33,"Κυριακή",Schedule!$C$4:$C$33,$A63)+COUNTIFS(Schedule!$A$4:$A$33,"Κυριακή",Schedule!$D$4:$D$33,$A63)+COUNTIFS(Schedule!$A$4:$A$33,"Κυριακή",Schedule!$E$4:$E$33,$A63)+COUNTIFS(Schedule!$A$4:$A$33,"Κυριακή",Schedule!$G$4:$G$33,$A63)+COUNTIFS(Schedule!$A$4:$A$33,"Κυριακή",Schedule!$H$4:$H$33,$A63)+COUNTIFS(Schedule!$A$4:$A$33,"Κυριακή",Schedule!$I$4:$I$33,$A63)+COUNTIFS(Schedule!$A$4:$A$33,"Κυριακή",Schedule!$J$4:$J$33,$A63)+COUNTIFS(Schedule!$A$4:$A$33,"Κυριακή",Schedule!$K$4:$K$33,$A63)</f>
        <v/>
      </c>
      <c r="D63">
        <f>COUNTIF(Schedule!$C$4:$C$33,$A63)+COUNTIF(Schedule!$D$4:$D$33,$A63)+COUNTIF(Schedule!$E$4:$E$33,$A63)</f>
        <v/>
      </c>
      <c r="E63">
        <f>COUNTIF(Schedule!$G$4:$G$33,$A63)+COUNTIF(Schedule!$H$4:$H$33,$A63)</f>
        <v/>
      </c>
      <c r="F63">
        <f>COUNTIF(Schedule!$I$4:$I$33,$A63)+COUNTIF(Schedule!$J$4:$J$33,$A63)</f>
        <v/>
      </c>
      <c r="G63">
        <f>COUNTIF(Schedule!$K$4:$K$33,$A63)</f>
        <v/>
      </c>
      <c r="H63">
        <f>COUNTIF(Schedule!$L$4:$L$33,$A63)</f>
        <v/>
      </c>
      <c r="I63">
        <f>COUNTIF(Schedule!$M$4:$M$33,$A63)</f>
        <v/>
      </c>
      <c r="J63">
        <f>SUM(H63:I63)</f>
        <v/>
      </c>
      <c r="K63">
        <f>IF(B63&lt;=INDEX(Personnel!$M:$M,MATCH($A63,Personnel!$A:$A,0)),"OK","ΥΠΕΡΒΑΣΗ")</f>
        <v/>
      </c>
      <c r="L63">
        <f>IF(C63&lt;=INDEX(Personnel!$N:$N,MATCH($A63,Personnel!$A:$A,0)),"OK","ΠΟΛΛΑ ΣΚ")</f>
        <v/>
      </c>
    </row>
    <row r="64">
      <c r="A64" t="inlineStr">
        <is>
          <t>Στρατιώτης 063</t>
        </is>
      </c>
      <c r="B64">
        <f>SUM(D64:G64)</f>
        <v/>
      </c>
      <c r="C64">
        <f>COUNTIFS(Schedule!$A$4:$A$33,"Σάββατο",Schedule!$C$4:$C$33,$A64)+COUNTIFS(Schedule!$A$4:$A$33,"Σάββατο",Schedule!$D$4:$D$33,$A64)+COUNTIFS(Schedule!$A$4:$A$33,"Σάββατο",Schedule!$E$4:$E$33,$A64)+COUNTIFS(Schedule!$A$4:$A$33,"Σάββατο",Schedule!$G$4:$G$33,$A64)+COUNTIFS(Schedule!$A$4:$A$33,"Σάββατο",Schedule!$H$4:$H$33,$A64)+COUNTIFS(Schedule!$A$4:$A$33,"Σάββατο",Schedule!$I$4:$I$33,$A64)+COUNTIFS(Schedule!$A$4:$A$33,"Σάββατο",Schedule!$J$4:$J$33,$A64)+COUNTIFS(Schedule!$A$4:$A$33,"Σάββατο",Schedule!$K$4:$K$33,$A64)+COUNTIFS(Schedule!$A$4:$A$33,"Κυριακή",Schedule!$C$4:$C$33,$A64)+COUNTIFS(Schedule!$A$4:$A$33,"Κυριακή",Schedule!$D$4:$D$33,$A64)+COUNTIFS(Schedule!$A$4:$A$33,"Κυριακή",Schedule!$E$4:$E$33,$A64)+COUNTIFS(Schedule!$A$4:$A$33,"Κυριακή",Schedule!$G$4:$G$33,$A64)+COUNTIFS(Schedule!$A$4:$A$33,"Κυριακή",Schedule!$H$4:$H$33,$A64)+COUNTIFS(Schedule!$A$4:$A$33,"Κυριακή",Schedule!$I$4:$I$33,$A64)+COUNTIFS(Schedule!$A$4:$A$33,"Κυριακή",Schedule!$J$4:$J$33,$A64)+COUNTIFS(Schedule!$A$4:$A$33,"Κυριακή",Schedule!$K$4:$K$33,$A64)</f>
        <v/>
      </c>
      <c r="D64">
        <f>COUNTIF(Schedule!$C$4:$C$33,$A64)+COUNTIF(Schedule!$D$4:$D$33,$A64)+COUNTIF(Schedule!$E$4:$E$33,$A64)</f>
        <v/>
      </c>
      <c r="E64">
        <f>COUNTIF(Schedule!$G$4:$G$33,$A64)+COUNTIF(Schedule!$H$4:$H$33,$A64)</f>
        <v/>
      </c>
      <c r="F64">
        <f>COUNTIF(Schedule!$I$4:$I$33,$A64)+COUNTIF(Schedule!$J$4:$J$33,$A64)</f>
        <v/>
      </c>
      <c r="G64">
        <f>COUNTIF(Schedule!$K$4:$K$33,$A64)</f>
        <v/>
      </c>
      <c r="H64">
        <f>COUNTIF(Schedule!$L$4:$L$33,$A64)</f>
        <v/>
      </c>
      <c r="I64">
        <f>COUNTIF(Schedule!$M$4:$M$33,$A64)</f>
        <v/>
      </c>
      <c r="J64">
        <f>SUM(H64:I64)</f>
        <v/>
      </c>
      <c r="K64">
        <f>IF(B64&lt;=INDEX(Personnel!$M:$M,MATCH($A64,Personnel!$A:$A,0)),"OK","ΥΠΕΡΒΑΣΗ")</f>
        <v/>
      </c>
      <c r="L64">
        <f>IF(C64&lt;=INDEX(Personnel!$N:$N,MATCH($A64,Personnel!$A:$A,0)),"OK","ΠΟΛΛΑ ΣΚ")</f>
        <v/>
      </c>
    </row>
    <row r="65">
      <c r="A65" t="inlineStr">
        <is>
          <t>Στρατιώτης 064</t>
        </is>
      </c>
      <c r="B65">
        <f>SUM(D65:G65)</f>
        <v/>
      </c>
      <c r="C65">
        <f>COUNTIFS(Schedule!$A$4:$A$33,"Σάββατο",Schedule!$C$4:$C$33,$A65)+COUNTIFS(Schedule!$A$4:$A$33,"Σάββατο",Schedule!$D$4:$D$33,$A65)+COUNTIFS(Schedule!$A$4:$A$33,"Σάββατο",Schedule!$E$4:$E$33,$A65)+COUNTIFS(Schedule!$A$4:$A$33,"Σάββατο",Schedule!$G$4:$G$33,$A65)+COUNTIFS(Schedule!$A$4:$A$33,"Σάββατο",Schedule!$H$4:$H$33,$A65)+COUNTIFS(Schedule!$A$4:$A$33,"Σάββατο",Schedule!$I$4:$I$33,$A65)+COUNTIFS(Schedule!$A$4:$A$33,"Σάββατο",Schedule!$J$4:$J$33,$A65)+COUNTIFS(Schedule!$A$4:$A$33,"Σάββατο",Schedule!$K$4:$K$33,$A65)+COUNTIFS(Schedule!$A$4:$A$33,"Κυριακή",Schedule!$C$4:$C$33,$A65)+COUNTIFS(Schedule!$A$4:$A$33,"Κυριακή",Schedule!$D$4:$D$33,$A65)+COUNTIFS(Schedule!$A$4:$A$33,"Κυριακή",Schedule!$E$4:$E$33,$A65)+COUNTIFS(Schedule!$A$4:$A$33,"Κυριακή",Schedule!$G$4:$G$33,$A65)+COUNTIFS(Schedule!$A$4:$A$33,"Κυριακή",Schedule!$H$4:$H$33,$A65)+COUNTIFS(Schedule!$A$4:$A$33,"Κυριακή",Schedule!$I$4:$I$33,$A65)+COUNTIFS(Schedule!$A$4:$A$33,"Κυριακή",Schedule!$J$4:$J$33,$A65)+COUNTIFS(Schedule!$A$4:$A$33,"Κυριακή",Schedule!$K$4:$K$33,$A65)</f>
        <v/>
      </c>
      <c r="D65">
        <f>COUNTIF(Schedule!$C$4:$C$33,$A65)+COUNTIF(Schedule!$D$4:$D$33,$A65)+COUNTIF(Schedule!$E$4:$E$33,$A65)</f>
        <v/>
      </c>
      <c r="E65">
        <f>COUNTIF(Schedule!$G$4:$G$33,$A65)+COUNTIF(Schedule!$H$4:$H$33,$A65)</f>
        <v/>
      </c>
      <c r="F65">
        <f>COUNTIF(Schedule!$I$4:$I$33,$A65)+COUNTIF(Schedule!$J$4:$J$33,$A65)</f>
        <v/>
      </c>
      <c r="G65">
        <f>COUNTIF(Schedule!$K$4:$K$33,$A65)</f>
        <v/>
      </c>
      <c r="H65">
        <f>COUNTIF(Schedule!$L$4:$L$33,$A65)</f>
        <v/>
      </c>
      <c r="I65">
        <f>COUNTIF(Schedule!$M$4:$M$33,$A65)</f>
        <v/>
      </c>
      <c r="J65">
        <f>SUM(H65:I65)</f>
        <v/>
      </c>
      <c r="K65">
        <f>IF(B65&lt;=INDEX(Personnel!$M:$M,MATCH($A65,Personnel!$A:$A,0)),"OK","ΥΠΕΡΒΑΣΗ")</f>
        <v/>
      </c>
      <c r="L65">
        <f>IF(C65&lt;=INDEX(Personnel!$N:$N,MATCH($A65,Personnel!$A:$A,0)),"OK","ΠΟΛΛΑ ΣΚ")</f>
        <v/>
      </c>
    </row>
    <row r="66">
      <c r="A66" t="inlineStr">
        <is>
          <t>Στρατιώτης 065</t>
        </is>
      </c>
      <c r="B66">
        <f>SUM(D66:G66)</f>
        <v/>
      </c>
      <c r="C66">
        <f>COUNTIFS(Schedule!$A$4:$A$33,"Σάββατο",Schedule!$C$4:$C$33,$A66)+COUNTIFS(Schedule!$A$4:$A$33,"Σάββατο",Schedule!$D$4:$D$33,$A66)+COUNTIFS(Schedule!$A$4:$A$33,"Σάββατο",Schedule!$E$4:$E$33,$A66)+COUNTIFS(Schedule!$A$4:$A$33,"Σάββατο",Schedule!$G$4:$G$33,$A66)+COUNTIFS(Schedule!$A$4:$A$33,"Σάββατο",Schedule!$H$4:$H$33,$A66)+COUNTIFS(Schedule!$A$4:$A$33,"Σάββατο",Schedule!$I$4:$I$33,$A66)+COUNTIFS(Schedule!$A$4:$A$33,"Σάββατο",Schedule!$J$4:$J$33,$A66)+COUNTIFS(Schedule!$A$4:$A$33,"Σάββατο",Schedule!$K$4:$K$33,$A66)+COUNTIFS(Schedule!$A$4:$A$33,"Κυριακή",Schedule!$C$4:$C$33,$A66)+COUNTIFS(Schedule!$A$4:$A$33,"Κυριακή",Schedule!$D$4:$D$33,$A66)+COUNTIFS(Schedule!$A$4:$A$33,"Κυριακή",Schedule!$E$4:$E$33,$A66)+COUNTIFS(Schedule!$A$4:$A$33,"Κυριακή",Schedule!$G$4:$G$33,$A66)+COUNTIFS(Schedule!$A$4:$A$33,"Κυριακή",Schedule!$H$4:$H$33,$A66)+COUNTIFS(Schedule!$A$4:$A$33,"Κυριακή",Schedule!$I$4:$I$33,$A66)+COUNTIFS(Schedule!$A$4:$A$33,"Κυριακή",Schedule!$J$4:$J$33,$A66)+COUNTIFS(Schedule!$A$4:$A$33,"Κυριακή",Schedule!$K$4:$K$33,$A66)</f>
        <v/>
      </c>
      <c r="D66">
        <f>COUNTIF(Schedule!$C$4:$C$33,$A66)+COUNTIF(Schedule!$D$4:$D$33,$A66)+COUNTIF(Schedule!$E$4:$E$33,$A66)</f>
        <v/>
      </c>
      <c r="E66">
        <f>COUNTIF(Schedule!$G$4:$G$33,$A66)+COUNTIF(Schedule!$H$4:$H$33,$A66)</f>
        <v/>
      </c>
      <c r="F66">
        <f>COUNTIF(Schedule!$I$4:$I$33,$A66)+COUNTIF(Schedule!$J$4:$J$33,$A66)</f>
        <v/>
      </c>
      <c r="G66">
        <f>COUNTIF(Schedule!$K$4:$K$33,$A66)</f>
        <v/>
      </c>
      <c r="H66">
        <f>COUNTIF(Schedule!$L$4:$L$33,$A66)</f>
        <v/>
      </c>
      <c r="I66">
        <f>COUNTIF(Schedule!$M$4:$M$33,$A66)</f>
        <v/>
      </c>
      <c r="J66">
        <f>SUM(H66:I66)</f>
        <v/>
      </c>
      <c r="K66">
        <f>IF(B66&lt;=INDEX(Personnel!$M:$M,MATCH($A66,Personnel!$A:$A,0)),"OK","ΥΠΕΡΒΑΣΗ")</f>
        <v/>
      </c>
      <c r="L66">
        <f>IF(C66&lt;=INDEX(Personnel!$N:$N,MATCH($A66,Personnel!$A:$A,0)),"OK","ΠΟΛΛΑ ΣΚ")</f>
        <v/>
      </c>
    </row>
    <row r="67">
      <c r="A67" t="inlineStr">
        <is>
          <t>Στρατιώτης 066</t>
        </is>
      </c>
      <c r="B67">
        <f>SUM(D67:G67)</f>
        <v/>
      </c>
      <c r="C67">
        <f>COUNTIFS(Schedule!$A$4:$A$33,"Σάββατο",Schedule!$C$4:$C$33,$A67)+COUNTIFS(Schedule!$A$4:$A$33,"Σάββατο",Schedule!$D$4:$D$33,$A67)+COUNTIFS(Schedule!$A$4:$A$33,"Σάββατο",Schedule!$E$4:$E$33,$A67)+COUNTIFS(Schedule!$A$4:$A$33,"Σάββατο",Schedule!$G$4:$G$33,$A67)+COUNTIFS(Schedule!$A$4:$A$33,"Σάββατο",Schedule!$H$4:$H$33,$A67)+COUNTIFS(Schedule!$A$4:$A$33,"Σάββατο",Schedule!$I$4:$I$33,$A67)+COUNTIFS(Schedule!$A$4:$A$33,"Σάββατο",Schedule!$J$4:$J$33,$A67)+COUNTIFS(Schedule!$A$4:$A$33,"Σάββατο",Schedule!$K$4:$K$33,$A67)+COUNTIFS(Schedule!$A$4:$A$33,"Κυριακή",Schedule!$C$4:$C$33,$A67)+COUNTIFS(Schedule!$A$4:$A$33,"Κυριακή",Schedule!$D$4:$D$33,$A67)+COUNTIFS(Schedule!$A$4:$A$33,"Κυριακή",Schedule!$E$4:$E$33,$A67)+COUNTIFS(Schedule!$A$4:$A$33,"Κυριακή",Schedule!$G$4:$G$33,$A67)+COUNTIFS(Schedule!$A$4:$A$33,"Κυριακή",Schedule!$H$4:$H$33,$A67)+COUNTIFS(Schedule!$A$4:$A$33,"Κυριακή",Schedule!$I$4:$I$33,$A67)+COUNTIFS(Schedule!$A$4:$A$33,"Κυριακή",Schedule!$J$4:$J$33,$A67)+COUNTIFS(Schedule!$A$4:$A$33,"Κυριακή",Schedule!$K$4:$K$33,$A67)</f>
        <v/>
      </c>
      <c r="D67">
        <f>COUNTIF(Schedule!$C$4:$C$33,$A67)+COUNTIF(Schedule!$D$4:$D$33,$A67)+COUNTIF(Schedule!$E$4:$E$33,$A67)</f>
        <v/>
      </c>
      <c r="E67">
        <f>COUNTIF(Schedule!$G$4:$G$33,$A67)+COUNTIF(Schedule!$H$4:$H$33,$A67)</f>
        <v/>
      </c>
      <c r="F67">
        <f>COUNTIF(Schedule!$I$4:$I$33,$A67)+COUNTIF(Schedule!$J$4:$J$33,$A67)</f>
        <v/>
      </c>
      <c r="G67">
        <f>COUNTIF(Schedule!$K$4:$K$33,$A67)</f>
        <v/>
      </c>
      <c r="H67">
        <f>COUNTIF(Schedule!$L$4:$L$33,$A67)</f>
        <v/>
      </c>
      <c r="I67">
        <f>COUNTIF(Schedule!$M$4:$M$33,$A67)</f>
        <v/>
      </c>
      <c r="J67">
        <f>SUM(H67:I67)</f>
        <v/>
      </c>
      <c r="K67">
        <f>IF(B67&lt;=INDEX(Personnel!$M:$M,MATCH($A67,Personnel!$A:$A,0)),"OK","ΥΠΕΡΒΑΣΗ")</f>
        <v/>
      </c>
      <c r="L67">
        <f>IF(C67&lt;=INDEX(Personnel!$N:$N,MATCH($A67,Personnel!$A:$A,0)),"OK","ΠΟΛΛΑ ΣΚ")</f>
        <v/>
      </c>
    </row>
    <row r="68">
      <c r="A68" t="inlineStr">
        <is>
          <t>Στρατιώτης 067</t>
        </is>
      </c>
      <c r="B68">
        <f>SUM(D68:G68)</f>
        <v/>
      </c>
      <c r="C68">
        <f>COUNTIFS(Schedule!$A$4:$A$33,"Σάββατο",Schedule!$C$4:$C$33,$A68)+COUNTIFS(Schedule!$A$4:$A$33,"Σάββατο",Schedule!$D$4:$D$33,$A68)+COUNTIFS(Schedule!$A$4:$A$33,"Σάββατο",Schedule!$E$4:$E$33,$A68)+COUNTIFS(Schedule!$A$4:$A$33,"Σάββατο",Schedule!$G$4:$G$33,$A68)+COUNTIFS(Schedule!$A$4:$A$33,"Σάββατο",Schedule!$H$4:$H$33,$A68)+COUNTIFS(Schedule!$A$4:$A$33,"Σάββατο",Schedule!$I$4:$I$33,$A68)+COUNTIFS(Schedule!$A$4:$A$33,"Σάββατο",Schedule!$J$4:$J$33,$A68)+COUNTIFS(Schedule!$A$4:$A$33,"Σάββατο",Schedule!$K$4:$K$33,$A68)+COUNTIFS(Schedule!$A$4:$A$33,"Κυριακή",Schedule!$C$4:$C$33,$A68)+COUNTIFS(Schedule!$A$4:$A$33,"Κυριακή",Schedule!$D$4:$D$33,$A68)+COUNTIFS(Schedule!$A$4:$A$33,"Κυριακή",Schedule!$E$4:$E$33,$A68)+COUNTIFS(Schedule!$A$4:$A$33,"Κυριακή",Schedule!$G$4:$G$33,$A68)+COUNTIFS(Schedule!$A$4:$A$33,"Κυριακή",Schedule!$H$4:$H$33,$A68)+COUNTIFS(Schedule!$A$4:$A$33,"Κυριακή",Schedule!$I$4:$I$33,$A68)+COUNTIFS(Schedule!$A$4:$A$33,"Κυριακή",Schedule!$J$4:$J$33,$A68)+COUNTIFS(Schedule!$A$4:$A$33,"Κυριακή",Schedule!$K$4:$K$33,$A68)</f>
        <v/>
      </c>
      <c r="D68">
        <f>COUNTIF(Schedule!$C$4:$C$33,$A68)+COUNTIF(Schedule!$D$4:$D$33,$A68)+COUNTIF(Schedule!$E$4:$E$33,$A68)</f>
        <v/>
      </c>
      <c r="E68">
        <f>COUNTIF(Schedule!$G$4:$G$33,$A68)+COUNTIF(Schedule!$H$4:$H$33,$A68)</f>
        <v/>
      </c>
      <c r="F68">
        <f>COUNTIF(Schedule!$I$4:$I$33,$A68)+COUNTIF(Schedule!$J$4:$J$33,$A68)</f>
        <v/>
      </c>
      <c r="G68">
        <f>COUNTIF(Schedule!$K$4:$K$33,$A68)</f>
        <v/>
      </c>
      <c r="H68">
        <f>COUNTIF(Schedule!$L$4:$L$33,$A68)</f>
        <v/>
      </c>
      <c r="I68">
        <f>COUNTIF(Schedule!$M$4:$M$33,$A68)</f>
        <v/>
      </c>
      <c r="J68">
        <f>SUM(H68:I68)</f>
        <v/>
      </c>
      <c r="K68">
        <f>IF(B68&lt;=INDEX(Personnel!$M:$M,MATCH($A68,Personnel!$A:$A,0)),"OK","ΥΠΕΡΒΑΣΗ")</f>
        <v/>
      </c>
      <c r="L68">
        <f>IF(C68&lt;=INDEX(Personnel!$N:$N,MATCH($A68,Personnel!$A:$A,0)),"OK","ΠΟΛΛΑ ΣΚ")</f>
        <v/>
      </c>
    </row>
    <row r="69">
      <c r="A69" t="inlineStr">
        <is>
          <t>Στρατιώτης 068</t>
        </is>
      </c>
      <c r="B69">
        <f>SUM(D69:G69)</f>
        <v/>
      </c>
      <c r="C69">
        <f>COUNTIFS(Schedule!$A$4:$A$33,"Σάββατο",Schedule!$C$4:$C$33,$A69)+COUNTIFS(Schedule!$A$4:$A$33,"Σάββατο",Schedule!$D$4:$D$33,$A69)+COUNTIFS(Schedule!$A$4:$A$33,"Σάββατο",Schedule!$E$4:$E$33,$A69)+COUNTIFS(Schedule!$A$4:$A$33,"Σάββατο",Schedule!$G$4:$G$33,$A69)+COUNTIFS(Schedule!$A$4:$A$33,"Σάββατο",Schedule!$H$4:$H$33,$A69)+COUNTIFS(Schedule!$A$4:$A$33,"Σάββατο",Schedule!$I$4:$I$33,$A69)+COUNTIFS(Schedule!$A$4:$A$33,"Σάββατο",Schedule!$J$4:$J$33,$A69)+COUNTIFS(Schedule!$A$4:$A$33,"Σάββατο",Schedule!$K$4:$K$33,$A69)+COUNTIFS(Schedule!$A$4:$A$33,"Κυριακή",Schedule!$C$4:$C$33,$A69)+COUNTIFS(Schedule!$A$4:$A$33,"Κυριακή",Schedule!$D$4:$D$33,$A69)+COUNTIFS(Schedule!$A$4:$A$33,"Κυριακή",Schedule!$E$4:$E$33,$A69)+COUNTIFS(Schedule!$A$4:$A$33,"Κυριακή",Schedule!$G$4:$G$33,$A69)+COUNTIFS(Schedule!$A$4:$A$33,"Κυριακή",Schedule!$H$4:$H$33,$A69)+COUNTIFS(Schedule!$A$4:$A$33,"Κυριακή",Schedule!$I$4:$I$33,$A69)+COUNTIFS(Schedule!$A$4:$A$33,"Κυριακή",Schedule!$J$4:$J$33,$A69)+COUNTIFS(Schedule!$A$4:$A$33,"Κυριακή",Schedule!$K$4:$K$33,$A69)</f>
        <v/>
      </c>
      <c r="D69">
        <f>COUNTIF(Schedule!$C$4:$C$33,$A69)+COUNTIF(Schedule!$D$4:$D$33,$A69)+COUNTIF(Schedule!$E$4:$E$33,$A69)</f>
        <v/>
      </c>
      <c r="E69">
        <f>COUNTIF(Schedule!$G$4:$G$33,$A69)+COUNTIF(Schedule!$H$4:$H$33,$A69)</f>
        <v/>
      </c>
      <c r="F69">
        <f>COUNTIF(Schedule!$I$4:$I$33,$A69)+COUNTIF(Schedule!$J$4:$J$33,$A69)</f>
        <v/>
      </c>
      <c r="G69">
        <f>COUNTIF(Schedule!$K$4:$K$33,$A69)</f>
        <v/>
      </c>
      <c r="H69">
        <f>COUNTIF(Schedule!$L$4:$L$33,$A69)</f>
        <v/>
      </c>
      <c r="I69">
        <f>COUNTIF(Schedule!$M$4:$M$33,$A69)</f>
        <v/>
      </c>
      <c r="J69">
        <f>SUM(H69:I69)</f>
        <v/>
      </c>
      <c r="K69">
        <f>IF(B69&lt;=INDEX(Personnel!$M:$M,MATCH($A69,Personnel!$A:$A,0)),"OK","ΥΠΕΡΒΑΣΗ")</f>
        <v/>
      </c>
      <c r="L69">
        <f>IF(C69&lt;=INDEX(Personnel!$N:$N,MATCH($A69,Personnel!$A:$A,0)),"OK","ΠΟΛΛΑ ΣΚ")</f>
        <v/>
      </c>
    </row>
    <row r="70">
      <c r="A70" t="inlineStr">
        <is>
          <t>Στρατιώτης 069</t>
        </is>
      </c>
      <c r="B70">
        <f>SUM(D70:G70)</f>
        <v/>
      </c>
      <c r="C70">
        <f>COUNTIFS(Schedule!$A$4:$A$33,"Σάββατο",Schedule!$C$4:$C$33,$A70)+COUNTIFS(Schedule!$A$4:$A$33,"Σάββατο",Schedule!$D$4:$D$33,$A70)+COUNTIFS(Schedule!$A$4:$A$33,"Σάββατο",Schedule!$E$4:$E$33,$A70)+COUNTIFS(Schedule!$A$4:$A$33,"Σάββατο",Schedule!$G$4:$G$33,$A70)+COUNTIFS(Schedule!$A$4:$A$33,"Σάββατο",Schedule!$H$4:$H$33,$A70)+COUNTIFS(Schedule!$A$4:$A$33,"Σάββατο",Schedule!$I$4:$I$33,$A70)+COUNTIFS(Schedule!$A$4:$A$33,"Σάββατο",Schedule!$J$4:$J$33,$A70)+COUNTIFS(Schedule!$A$4:$A$33,"Σάββατο",Schedule!$K$4:$K$33,$A70)+COUNTIFS(Schedule!$A$4:$A$33,"Κυριακή",Schedule!$C$4:$C$33,$A70)+COUNTIFS(Schedule!$A$4:$A$33,"Κυριακή",Schedule!$D$4:$D$33,$A70)+COUNTIFS(Schedule!$A$4:$A$33,"Κυριακή",Schedule!$E$4:$E$33,$A70)+COUNTIFS(Schedule!$A$4:$A$33,"Κυριακή",Schedule!$G$4:$G$33,$A70)+COUNTIFS(Schedule!$A$4:$A$33,"Κυριακή",Schedule!$H$4:$H$33,$A70)+COUNTIFS(Schedule!$A$4:$A$33,"Κυριακή",Schedule!$I$4:$I$33,$A70)+COUNTIFS(Schedule!$A$4:$A$33,"Κυριακή",Schedule!$J$4:$J$33,$A70)+COUNTIFS(Schedule!$A$4:$A$33,"Κυριακή",Schedule!$K$4:$K$33,$A70)</f>
        <v/>
      </c>
      <c r="D70">
        <f>COUNTIF(Schedule!$C$4:$C$33,$A70)+COUNTIF(Schedule!$D$4:$D$33,$A70)+COUNTIF(Schedule!$E$4:$E$33,$A70)</f>
        <v/>
      </c>
      <c r="E70">
        <f>COUNTIF(Schedule!$G$4:$G$33,$A70)+COUNTIF(Schedule!$H$4:$H$33,$A70)</f>
        <v/>
      </c>
      <c r="F70">
        <f>COUNTIF(Schedule!$I$4:$I$33,$A70)+COUNTIF(Schedule!$J$4:$J$33,$A70)</f>
        <v/>
      </c>
      <c r="G70">
        <f>COUNTIF(Schedule!$K$4:$K$33,$A70)</f>
        <v/>
      </c>
      <c r="H70">
        <f>COUNTIF(Schedule!$L$4:$L$33,$A70)</f>
        <v/>
      </c>
      <c r="I70">
        <f>COUNTIF(Schedule!$M$4:$M$33,$A70)</f>
        <v/>
      </c>
      <c r="J70">
        <f>SUM(H70:I70)</f>
        <v/>
      </c>
      <c r="K70">
        <f>IF(B70&lt;=INDEX(Personnel!$M:$M,MATCH($A70,Personnel!$A:$A,0)),"OK","ΥΠΕΡΒΑΣΗ")</f>
        <v/>
      </c>
      <c r="L70">
        <f>IF(C70&lt;=INDEX(Personnel!$N:$N,MATCH($A70,Personnel!$A:$A,0)),"OK","ΠΟΛΛΑ ΣΚ")</f>
        <v/>
      </c>
    </row>
    <row r="71">
      <c r="A71" t="inlineStr">
        <is>
          <t>Στρατιώτης 070</t>
        </is>
      </c>
      <c r="B71">
        <f>SUM(D71:G71)</f>
        <v/>
      </c>
      <c r="C71">
        <f>COUNTIFS(Schedule!$A$4:$A$33,"Σάββατο",Schedule!$C$4:$C$33,$A71)+COUNTIFS(Schedule!$A$4:$A$33,"Σάββατο",Schedule!$D$4:$D$33,$A71)+COUNTIFS(Schedule!$A$4:$A$33,"Σάββατο",Schedule!$E$4:$E$33,$A71)+COUNTIFS(Schedule!$A$4:$A$33,"Σάββατο",Schedule!$G$4:$G$33,$A71)+COUNTIFS(Schedule!$A$4:$A$33,"Σάββατο",Schedule!$H$4:$H$33,$A71)+COUNTIFS(Schedule!$A$4:$A$33,"Σάββατο",Schedule!$I$4:$I$33,$A71)+COUNTIFS(Schedule!$A$4:$A$33,"Σάββατο",Schedule!$J$4:$J$33,$A71)+COUNTIFS(Schedule!$A$4:$A$33,"Σάββατο",Schedule!$K$4:$K$33,$A71)+COUNTIFS(Schedule!$A$4:$A$33,"Κυριακή",Schedule!$C$4:$C$33,$A71)+COUNTIFS(Schedule!$A$4:$A$33,"Κυριακή",Schedule!$D$4:$D$33,$A71)+COUNTIFS(Schedule!$A$4:$A$33,"Κυριακή",Schedule!$E$4:$E$33,$A71)+COUNTIFS(Schedule!$A$4:$A$33,"Κυριακή",Schedule!$G$4:$G$33,$A71)+COUNTIFS(Schedule!$A$4:$A$33,"Κυριακή",Schedule!$H$4:$H$33,$A71)+COUNTIFS(Schedule!$A$4:$A$33,"Κυριακή",Schedule!$I$4:$I$33,$A71)+COUNTIFS(Schedule!$A$4:$A$33,"Κυριακή",Schedule!$J$4:$J$33,$A71)+COUNTIFS(Schedule!$A$4:$A$33,"Κυριακή",Schedule!$K$4:$K$33,$A71)</f>
        <v/>
      </c>
      <c r="D71">
        <f>COUNTIF(Schedule!$C$4:$C$33,$A71)+COUNTIF(Schedule!$D$4:$D$33,$A71)+COUNTIF(Schedule!$E$4:$E$33,$A71)</f>
        <v/>
      </c>
      <c r="E71">
        <f>COUNTIF(Schedule!$G$4:$G$33,$A71)+COUNTIF(Schedule!$H$4:$H$33,$A71)</f>
        <v/>
      </c>
      <c r="F71">
        <f>COUNTIF(Schedule!$I$4:$I$33,$A71)+COUNTIF(Schedule!$J$4:$J$33,$A71)</f>
        <v/>
      </c>
      <c r="G71">
        <f>COUNTIF(Schedule!$K$4:$K$33,$A71)</f>
        <v/>
      </c>
      <c r="H71">
        <f>COUNTIF(Schedule!$L$4:$L$33,$A71)</f>
        <v/>
      </c>
      <c r="I71">
        <f>COUNTIF(Schedule!$M$4:$M$33,$A71)</f>
        <v/>
      </c>
      <c r="J71">
        <f>SUM(H71:I71)</f>
        <v/>
      </c>
      <c r="K71">
        <f>IF(B71&lt;=INDEX(Personnel!$M:$M,MATCH($A71,Personnel!$A:$A,0)),"OK","ΥΠΕΡΒΑΣΗ")</f>
        <v/>
      </c>
      <c r="L71">
        <f>IF(C71&lt;=INDEX(Personnel!$N:$N,MATCH($A71,Personnel!$A:$A,0)),"OK","ΠΟΛΛΑ ΣΚ")</f>
        <v/>
      </c>
    </row>
    <row r="72">
      <c r="A72" t="inlineStr">
        <is>
          <t>Στρατιώτης 071</t>
        </is>
      </c>
      <c r="B72">
        <f>SUM(D72:G72)</f>
        <v/>
      </c>
      <c r="C72">
        <f>COUNTIFS(Schedule!$A$4:$A$33,"Σάββατο",Schedule!$C$4:$C$33,$A72)+COUNTIFS(Schedule!$A$4:$A$33,"Σάββατο",Schedule!$D$4:$D$33,$A72)+COUNTIFS(Schedule!$A$4:$A$33,"Σάββατο",Schedule!$E$4:$E$33,$A72)+COUNTIFS(Schedule!$A$4:$A$33,"Σάββατο",Schedule!$G$4:$G$33,$A72)+COUNTIFS(Schedule!$A$4:$A$33,"Σάββατο",Schedule!$H$4:$H$33,$A72)+COUNTIFS(Schedule!$A$4:$A$33,"Σάββατο",Schedule!$I$4:$I$33,$A72)+COUNTIFS(Schedule!$A$4:$A$33,"Σάββατο",Schedule!$J$4:$J$33,$A72)+COUNTIFS(Schedule!$A$4:$A$33,"Σάββατο",Schedule!$K$4:$K$33,$A72)+COUNTIFS(Schedule!$A$4:$A$33,"Κυριακή",Schedule!$C$4:$C$33,$A72)+COUNTIFS(Schedule!$A$4:$A$33,"Κυριακή",Schedule!$D$4:$D$33,$A72)+COUNTIFS(Schedule!$A$4:$A$33,"Κυριακή",Schedule!$E$4:$E$33,$A72)+COUNTIFS(Schedule!$A$4:$A$33,"Κυριακή",Schedule!$G$4:$G$33,$A72)+COUNTIFS(Schedule!$A$4:$A$33,"Κυριακή",Schedule!$H$4:$H$33,$A72)+COUNTIFS(Schedule!$A$4:$A$33,"Κυριακή",Schedule!$I$4:$I$33,$A72)+COUNTIFS(Schedule!$A$4:$A$33,"Κυριακή",Schedule!$J$4:$J$33,$A72)+COUNTIFS(Schedule!$A$4:$A$33,"Κυριακή",Schedule!$K$4:$K$33,$A72)</f>
        <v/>
      </c>
      <c r="D72">
        <f>COUNTIF(Schedule!$C$4:$C$33,$A72)+COUNTIF(Schedule!$D$4:$D$33,$A72)+COUNTIF(Schedule!$E$4:$E$33,$A72)</f>
        <v/>
      </c>
      <c r="E72">
        <f>COUNTIF(Schedule!$G$4:$G$33,$A72)+COUNTIF(Schedule!$H$4:$H$33,$A72)</f>
        <v/>
      </c>
      <c r="F72">
        <f>COUNTIF(Schedule!$I$4:$I$33,$A72)+COUNTIF(Schedule!$J$4:$J$33,$A72)</f>
        <v/>
      </c>
      <c r="G72">
        <f>COUNTIF(Schedule!$K$4:$K$33,$A72)</f>
        <v/>
      </c>
      <c r="H72">
        <f>COUNTIF(Schedule!$L$4:$L$33,$A72)</f>
        <v/>
      </c>
      <c r="I72">
        <f>COUNTIF(Schedule!$M$4:$M$33,$A72)</f>
        <v/>
      </c>
      <c r="J72">
        <f>SUM(H72:I72)</f>
        <v/>
      </c>
      <c r="K72">
        <f>IF(B72&lt;=INDEX(Personnel!$M:$M,MATCH($A72,Personnel!$A:$A,0)),"OK","ΥΠΕΡΒΑΣΗ")</f>
        <v/>
      </c>
      <c r="L72">
        <f>IF(C72&lt;=INDEX(Personnel!$N:$N,MATCH($A72,Personnel!$A:$A,0)),"OK","ΠΟΛΛΑ ΣΚ")</f>
        <v/>
      </c>
    </row>
    <row r="73">
      <c r="A73" t="inlineStr">
        <is>
          <t>Στρατιώτης 072</t>
        </is>
      </c>
      <c r="B73">
        <f>SUM(D73:G73)</f>
        <v/>
      </c>
      <c r="C73">
        <f>COUNTIFS(Schedule!$A$4:$A$33,"Σάββατο",Schedule!$C$4:$C$33,$A73)+COUNTIFS(Schedule!$A$4:$A$33,"Σάββατο",Schedule!$D$4:$D$33,$A73)+COUNTIFS(Schedule!$A$4:$A$33,"Σάββατο",Schedule!$E$4:$E$33,$A73)+COUNTIFS(Schedule!$A$4:$A$33,"Σάββατο",Schedule!$G$4:$G$33,$A73)+COUNTIFS(Schedule!$A$4:$A$33,"Σάββατο",Schedule!$H$4:$H$33,$A73)+COUNTIFS(Schedule!$A$4:$A$33,"Σάββατο",Schedule!$I$4:$I$33,$A73)+COUNTIFS(Schedule!$A$4:$A$33,"Σάββατο",Schedule!$J$4:$J$33,$A73)+COUNTIFS(Schedule!$A$4:$A$33,"Σάββατο",Schedule!$K$4:$K$33,$A73)+COUNTIFS(Schedule!$A$4:$A$33,"Κυριακή",Schedule!$C$4:$C$33,$A73)+COUNTIFS(Schedule!$A$4:$A$33,"Κυριακή",Schedule!$D$4:$D$33,$A73)+COUNTIFS(Schedule!$A$4:$A$33,"Κυριακή",Schedule!$E$4:$E$33,$A73)+COUNTIFS(Schedule!$A$4:$A$33,"Κυριακή",Schedule!$G$4:$G$33,$A73)+COUNTIFS(Schedule!$A$4:$A$33,"Κυριακή",Schedule!$H$4:$H$33,$A73)+COUNTIFS(Schedule!$A$4:$A$33,"Κυριακή",Schedule!$I$4:$I$33,$A73)+COUNTIFS(Schedule!$A$4:$A$33,"Κυριακή",Schedule!$J$4:$J$33,$A73)+COUNTIFS(Schedule!$A$4:$A$33,"Κυριακή",Schedule!$K$4:$K$33,$A73)</f>
        <v/>
      </c>
      <c r="D73">
        <f>COUNTIF(Schedule!$C$4:$C$33,$A73)+COUNTIF(Schedule!$D$4:$D$33,$A73)+COUNTIF(Schedule!$E$4:$E$33,$A73)</f>
        <v/>
      </c>
      <c r="E73">
        <f>COUNTIF(Schedule!$G$4:$G$33,$A73)+COUNTIF(Schedule!$H$4:$H$33,$A73)</f>
        <v/>
      </c>
      <c r="F73">
        <f>COUNTIF(Schedule!$I$4:$I$33,$A73)+COUNTIF(Schedule!$J$4:$J$33,$A73)</f>
        <v/>
      </c>
      <c r="G73">
        <f>COUNTIF(Schedule!$K$4:$K$33,$A73)</f>
        <v/>
      </c>
      <c r="H73">
        <f>COUNTIF(Schedule!$L$4:$L$33,$A73)</f>
        <v/>
      </c>
      <c r="I73">
        <f>COUNTIF(Schedule!$M$4:$M$33,$A73)</f>
        <v/>
      </c>
      <c r="J73">
        <f>SUM(H73:I73)</f>
        <v/>
      </c>
      <c r="K73">
        <f>IF(B73&lt;=INDEX(Personnel!$M:$M,MATCH($A73,Personnel!$A:$A,0)),"OK","ΥΠΕΡΒΑΣΗ")</f>
        <v/>
      </c>
      <c r="L73">
        <f>IF(C73&lt;=INDEX(Personnel!$N:$N,MATCH($A73,Personnel!$A:$A,0)),"OK","ΠΟΛΛΑ ΣΚ")</f>
        <v/>
      </c>
    </row>
    <row r="74">
      <c r="A74" t="inlineStr">
        <is>
          <t>Στρατιώτης 073</t>
        </is>
      </c>
      <c r="B74">
        <f>SUM(D74:G74)</f>
        <v/>
      </c>
      <c r="C74">
        <f>COUNTIFS(Schedule!$A$4:$A$33,"Σάββατο",Schedule!$C$4:$C$33,$A74)+COUNTIFS(Schedule!$A$4:$A$33,"Σάββατο",Schedule!$D$4:$D$33,$A74)+COUNTIFS(Schedule!$A$4:$A$33,"Σάββατο",Schedule!$E$4:$E$33,$A74)+COUNTIFS(Schedule!$A$4:$A$33,"Σάββατο",Schedule!$G$4:$G$33,$A74)+COUNTIFS(Schedule!$A$4:$A$33,"Σάββατο",Schedule!$H$4:$H$33,$A74)+COUNTIFS(Schedule!$A$4:$A$33,"Σάββατο",Schedule!$I$4:$I$33,$A74)+COUNTIFS(Schedule!$A$4:$A$33,"Σάββατο",Schedule!$J$4:$J$33,$A74)+COUNTIFS(Schedule!$A$4:$A$33,"Σάββατο",Schedule!$K$4:$K$33,$A74)+COUNTIFS(Schedule!$A$4:$A$33,"Κυριακή",Schedule!$C$4:$C$33,$A74)+COUNTIFS(Schedule!$A$4:$A$33,"Κυριακή",Schedule!$D$4:$D$33,$A74)+COUNTIFS(Schedule!$A$4:$A$33,"Κυριακή",Schedule!$E$4:$E$33,$A74)+COUNTIFS(Schedule!$A$4:$A$33,"Κυριακή",Schedule!$G$4:$G$33,$A74)+COUNTIFS(Schedule!$A$4:$A$33,"Κυριακή",Schedule!$H$4:$H$33,$A74)+COUNTIFS(Schedule!$A$4:$A$33,"Κυριακή",Schedule!$I$4:$I$33,$A74)+COUNTIFS(Schedule!$A$4:$A$33,"Κυριακή",Schedule!$J$4:$J$33,$A74)+COUNTIFS(Schedule!$A$4:$A$33,"Κυριακή",Schedule!$K$4:$K$33,$A74)</f>
        <v/>
      </c>
      <c r="D74">
        <f>COUNTIF(Schedule!$C$4:$C$33,$A74)+COUNTIF(Schedule!$D$4:$D$33,$A74)+COUNTIF(Schedule!$E$4:$E$33,$A74)</f>
        <v/>
      </c>
      <c r="E74">
        <f>COUNTIF(Schedule!$G$4:$G$33,$A74)+COUNTIF(Schedule!$H$4:$H$33,$A74)</f>
        <v/>
      </c>
      <c r="F74">
        <f>COUNTIF(Schedule!$I$4:$I$33,$A74)+COUNTIF(Schedule!$J$4:$J$33,$A74)</f>
        <v/>
      </c>
      <c r="G74">
        <f>COUNTIF(Schedule!$K$4:$K$33,$A74)</f>
        <v/>
      </c>
      <c r="H74">
        <f>COUNTIF(Schedule!$L$4:$L$33,$A74)</f>
        <v/>
      </c>
      <c r="I74">
        <f>COUNTIF(Schedule!$M$4:$M$33,$A74)</f>
        <v/>
      </c>
      <c r="J74">
        <f>SUM(H74:I74)</f>
        <v/>
      </c>
      <c r="K74">
        <f>IF(B74&lt;=INDEX(Personnel!$M:$M,MATCH($A74,Personnel!$A:$A,0)),"OK","ΥΠΕΡΒΑΣΗ")</f>
        <v/>
      </c>
      <c r="L74">
        <f>IF(C74&lt;=INDEX(Personnel!$N:$N,MATCH($A74,Personnel!$A:$A,0)),"OK","ΠΟΛΛΑ ΣΚ")</f>
        <v/>
      </c>
    </row>
    <row r="75">
      <c r="A75" t="inlineStr">
        <is>
          <t>Στρατιώτης 074</t>
        </is>
      </c>
      <c r="B75">
        <f>SUM(D75:G75)</f>
        <v/>
      </c>
      <c r="C75">
        <f>COUNTIFS(Schedule!$A$4:$A$33,"Σάββατο",Schedule!$C$4:$C$33,$A75)+COUNTIFS(Schedule!$A$4:$A$33,"Σάββατο",Schedule!$D$4:$D$33,$A75)+COUNTIFS(Schedule!$A$4:$A$33,"Σάββατο",Schedule!$E$4:$E$33,$A75)+COUNTIFS(Schedule!$A$4:$A$33,"Σάββατο",Schedule!$G$4:$G$33,$A75)+COUNTIFS(Schedule!$A$4:$A$33,"Σάββατο",Schedule!$H$4:$H$33,$A75)+COUNTIFS(Schedule!$A$4:$A$33,"Σάββατο",Schedule!$I$4:$I$33,$A75)+COUNTIFS(Schedule!$A$4:$A$33,"Σάββατο",Schedule!$J$4:$J$33,$A75)+COUNTIFS(Schedule!$A$4:$A$33,"Σάββατο",Schedule!$K$4:$K$33,$A75)+COUNTIFS(Schedule!$A$4:$A$33,"Κυριακή",Schedule!$C$4:$C$33,$A75)+COUNTIFS(Schedule!$A$4:$A$33,"Κυριακή",Schedule!$D$4:$D$33,$A75)+COUNTIFS(Schedule!$A$4:$A$33,"Κυριακή",Schedule!$E$4:$E$33,$A75)+COUNTIFS(Schedule!$A$4:$A$33,"Κυριακή",Schedule!$G$4:$G$33,$A75)+COUNTIFS(Schedule!$A$4:$A$33,"Κυριακή",Schedule!$H$4:$H$33,$A75)+COUNTIFS(Schedule!$A$4:$A$33,"Κυριακή",Schedule!$I$4:$I$33,$A75)+COUNTIFS(Schedule!$A$4:$A$33,"Κυριακή",Schedule!$J$4:$J$33,$A75)+COUNTIFS(Schedule!$A$4:$A$33,"Κυριακή",Schedule!$K$4:$K$33,$A75)</f>
        <v/>
      </c>
      <c r="D75">
        <f>COUNTIF(Schedule!$C$4:$C$33,$A75)+COUNTIF(Schedule!$D$4:$D$33,$A75)+COUNTIF(Schedule!$E$4:$E$33,$A75)</f>
        <v/>
      </c>
      <c r="E75">
        <f>COUNTIF(Schedule!$G$4:$G$33,$A75)+COUNTIF(Schedule!$H$4:$H$33,$A75)</f>
        <v/>
      </c>
      <c r="F75">
        <f>COUNTIF(Schedule!$I$4:$I$33,$A75)+COUNTIF(Schedule!$J$4:$J$33,$A75)</f>
        <v/>
      </c>
      <c r="G75">
        <f>COUNTIF(Schedule!$K$4:$K$33,$A75)</f>
        <v/>
      </c>
      <c r="H75">
        <f>COUNTIF(Schedule!$L$4:$L$33,$A75)</f>
        <v/>
      </c>
      <c r="I75">
        <f>COUNTIF(Schedule!$M$4:$M$33,$A75)</f>
        <v/>
      </c>
      <c r="J75">
        <f>SUM(H75:I75)</f>
        <v/>
      </c>
      <c r="K75">
        <f>IF(B75&lt;=INDEX(Personnel!$M:$M,MATCH($A75,Personnel!$A:$A,0)),"OK","ΥΠΕΡΒΑΣΗ")</f>
        <v/>
      </c>
      <c r="L75">
        <f>IF(C75&lt;=INDEX(Personnel!$N:$N,MATCH($A75,Personnel!$A:$A,0)),"OK","ΠΟΛΛΑ ΣΚ")</f>
        <v/>
      </c>
    </row>
    <row r="76">
      <c r="A76" t="inlineStr">
        <is>
          <t>Στρατιώτης 075</t>
        </is>
      </c>
      <c r="B76">
        <f>SUM(D76:G76)</f>
        <v/>
      </c>
      <c r="C76">
        <f>COUNTIFS(Schedule!$A$4:$A$33,"Σάββατο",Schedule!$C$4:$C$33,$A76)+COUNTIFS(Schedule!$A$4:$A$33,"Σάββατο",Schedule!$D$4:$D$33,$A76)+COUNTIFS(Schedule!$A$4:$A$33,"Σάββατο",Schedule!$E$4:$E$33,$A76)+COUNTIFS(Schedule!$A$4:$A$33,"Σάββατο",Schedule!$G$4:$G$33,$A76)+COUNTIFS(Schedule!$A$4:$A$33,"Σάββατο",Schedule!$H$4:$H$33,$A76)+COUNTIFS(Schedule!$A$4:$A$33,"Σάββατο",Schedule!$I$4:$I$33,$A76)+COUNTIFS(Schedule!$A$4:$A$33,"Σάββατο",Schedule!$J$4:$J$33,$A76)+COUNTIFS(Schedule!$A$4:$A$33,"Σάββατο",Schedule!$K$4:$K$33,$A76)+COUNTIFS(Schedule!$A$4:$A$33,"Κυριακή",Schedule!$C$4:$C$33,$A76)+COUNTIFS(Schedule!$A$4:$A$33,"Κυριακή",Schedule!$D$4:$D$33,$A76)+COUNTIFS(Schedule!$A$4:$A$33,"Κυριακή",Schedule!$E$4:$E$33,$A76)+COUNTIFS(Schedule!$A$4:$A$33,"Κυριακή",Schedule!$G$4:$G$33,$A76)+COUNTIFS(Schedule!$A$4:$A$33,"Κυριακή",Schedule!$H$4:$H$33,$A76)+COUNTIFS(Schedule!$A$4:$A$33,"Κυριακή",Schedule!$I$4:$I$33,$A76)+COUNTIFS(Schedule!$A$4:$A$33,"Κυριακή",Schedule!$J$4:$J$33,$A76)+COUNTIFS(Schedule!$A$4:$A$33,"Κυριακή",Schedule!$K$4:$K$33,$A76)</f>
        <v/>
      </c>
      <c r="D76">
        <f>COUNTIF(Schedule!$C$4:$C$33,$A76)+COUNTIF(Schedule!$D$4:$D$33,$A76)+COUNTIF(Schedule!$E$4:$E$33,$A76)</f>
        <v/>
      </c>
      <c r="E76">
        <f>COUNTIF(Schedule!$G$4:$G$33,$A76)+COUNTIF(Schedule!$H$4:$H$33,$A76)</f>
        <v/>
      </c>
      <c r="F76">
        <f>COUNTIF(Schedule!$I$4:$I$33,$A76)+COUNTIF(Schedule!$J$4:$J$33,$A76)</f>
        <v/>
      </c>
      <c r="G76">
        <f>COUNTIF(Schedule!$K$4:$K$33,$A76)</f>
        <v/>
      </c>
      <c r="H76">
        <f>COUNTIF(Schedule!$L$4:$L$33,$A76)</f>
        <v/>
      </c>
      <c r="I76">
        <f>COUNTIF(Schedule!$M$4:$M$33,$A76)</f>
        <v/>
      </c>
      <c r="J76">
        <f>SUM(H76:I76)</f>
        <v/>
      </c>
      <c r="K76">
        <f>IF(B76&lt;=INDEX(Personnel!$M:$M,MATCH($A76,Personnel!$A:$A,0)),"OK","ΥΠΕΡΒΑΣΗ")</f>
        <v/>
      </c>
      <c r="L76">
        <f>IF(C76&lt;=INDEX(Personnel!$N:$N,MATCH($A76,Personnel!$A:$A,0)),"OK","ΠΟΛΛΑ ΣΚ")</f>
        <v/>
      </c>
    </row>
    <row r="77">
      <c r="A77" t="inlineStr">
        <is>
          <t>Στρατιώτης 076</t>
        </is>
      </c>
      <c r="B77">
        <f>SUM(D77:G77)</f>
        <v/>
      </c>
      <c r="C77">
        <f>COUNTIFS(Schedule!$A$4:$A$33,"Σάββατο",Schedule!$C$4:$C$33,$A77)+COUNTIFS(Schedule!$A$4:$A$33,"Σάββατο",Schedule!$D$4:$D$33,$A77)+COUNTIFS(Schedule!$A$4:$A$33,"Σάββατο",Schedule!$E$4:$E$33,$A77)+COUNTIFS(Schedule!$A$4:$A$33,"Σάββατο",Schedule!$G$4:$G$33,$A77)+COUNTIFS(Schedule!$A$4:$A$33,"Σάββατο",Schedule!$H$4:$H$33,$A77)+COUNTIFS(Schedule!$A$4:$A$33,"Σάββατο",Schedule!$I$4:$I$33,$A77)+COUNTIFS(Schedule!$A$4:$A$33,"Σάββατο",Schedule!$J$4:$J$33,$A77)+COUNTIFS(Schedule!$A$4:$A$33,"Σάββατο",Schedule!$K$4:$K$33,$A77)+COUNTIFS(Schedule!$A$4:$A$33,"Κυριακή",Schedule!$C$4:$C$33,$A77)+COUNTIFS(Schedule!$A$4:$A$33,"Κυριακή",Schedule!$D$4:$D$33,$A77)+COUNTIFS(Schedule!$A$4:$A$33,"Κυριακή",Schedule!$E$4:$E$33,$A77)+COUNTIFS(Schedule!$A$4:$A$33,"Κυριακή",Schedule!$G$4:$G$33,$A77)+COUNTIFS(Schedule!$A$4:$A$33,"Κυριακή",Schedule!$H$4:$H$33,$A77)+COUNTIFS(Schedule!$A$4:$A$33,"Κυριακή",Schedule!$I$4:$I$33,$A77)+COUNTIFS(Schedule!$A$4:$A$33,"Κυριακή",Schedule!$J$4:$J$33,$A77)+COUNTIFS(Schedule!$A$4:$A$33,"Κυριακή",Schedule!$K$4:$K$33,$A77)</f>
        <v/>
      </c>
      <c r="D77">
        <f>COUNTIF(Schedule!$C$4:$C$33,$A77)+COUNTIF(Schedule!$D$4:$D$33,$A77)+COUNTIF(Schedule!$E$4:$E$33,$A77)</f>
        <v/>
      </c>
      <c r="E77">
        <f>COUNTIF(Schedule!$G$4:$G$33,$A77)+COUNTIF(Schedule!$H$4:$H$33,$A77)</f>
        <v/>
      </c>
      <c r="F77">
        <f>COUNTIF(Schedule!$I$4:$I$33,$A77)+COUNTIF(Schedule!$J$4:$J$33,$A77)</f>
        <v/>
      </c>
      <c r="G77">
        <f>COUNTIF(Schedule!$K$4:$K$33,$A77)</f>
        <v/>
      </c>
      <c r="H77">
        <f>COUNTIF(Schedule!$L$4:$L$33,$A77)</f>
        <v/>
      </c>
      <c r="I77">
        <f>COUNTIF(Schedule!$M$4:$M$33,$A77)</f>
        <v/>
      </c>
      <c r="J77">
        <f>SUM(H77:I77)</f>
        <v/>
      </c>
      <c r="K77">
        <f>IF(B77&lt;=INDEX(Personnel!$M:$M,MATCH($A77,Personnel!$A:$A,0)),"OK","ΥΠΕΡΒΑΣΗ")</f>
        <v/>
      </c>
      <c r="L77">
        <f>IF(C77&lt;=INDEX(Personnel!$N:$N,MATCH($A77,Personnel!$A:$A,0)),"OK","ΠΟΛΛΑ ΣΚ")</f>
        <v/>
      </c>
    </row>
    <row r="78">
      <c r="A78" t="inlineStr">
        <is>
          <t>Στρατιώτης 077</t>
        </is>
      </c>
      <c r="B78">
        <f>SUM(D78:G78)</f>
        <v/>
      </c>
      <c r="C78">
        <f>COUNTIFS(Schedule!$A$4:$A$33,"Σάββατο",Schedule!$C$4:$C$33,$A78)+COUNTIFS(Schedule!$A$4:$A$33,"Σάββατο",Schedule!$D$4:$D$33,$A78)+COUNTIFS(Schedule!$A$4:$A$33,"Σάββατο",Schedule!$E$4:$E$33,$A78)+COUNTIFS(Schedule!$A$4:$A$33,"Σάββατο",Schedule!$G$4:$G$33,$A78)+COUNTIFS(Schedule!$A$4:$A$33,"Σάββατο",Schedule!$H$4:$H$33,$A78)+COUNTIFS(Schedule!$A$4:$A$33,"Σάββατο",Schedule!$I$4:$I$33,$A78)+COUNTIFS(Schedule!$A$4:$A$33,"Σάββατο",Schedule!$J$4:$J$33,$A78)+COUNTIFS(Schedule!$A$4:$A$33,"Σάββατο",Schedule!$K$4:$K$33,$A78)+COUNTIFS(Schedule!$A$4:$A$33,"Κυριακή",Schedule!$C$4:$C$33,$A78)+COUNTIFS(Schedule!$A$4:$A$33,"Κυριακή",Schedule!$D$4:$D$33,$A78)+COUNTIFS(Schedule!$A$4:$A$33,"Κυριακή",Schedule!$E$4:$E$33,$A78)+COUNTIFS(Schedule!$A$4:$A$33,"Κυριακή",Schedule!$G$4:$G$33,$A78)+COUNTIFS(Schedule!$A$4:$A$33,"Κυριακή",Schedule!$H$4:$H$33,$A78)+COUNTIFS(Schedule!$A$4:$A$33,"Κυριακή",Schedule!$I$4:$I$33,$A78)+COUNTIFS(Schedule!$A$4:$A$33,"Κυριακή",Schedule!$J$4:$J$33,$A78)+COUNTIFS(Schedule!$A$4:$A$33,"Κυριακή",Schedule!$K$4:$K$33,$A78)</f>
        <v/>
      </c>
      <c r="D78">
        <f>COUNTIF(Schedule!$C$4:$C$33,$A78)+COUNTIF(Schedule!$D$4:$D$33,$A78)+COUNTIF(Schedule!$E$4:$E$33,$A78)</f>
        <v/>
      </c>
      <c r="E78">
        <f>COUNTIF(Schedule!$G$4:$G$33,$A78)+COUNTIF(Schedule!$H$4:$H$33,$A78)</f>
        <v/>
      </c>
      <c r="F78">
        <f>COUNTIF(Schedule!$I$4:$I$33,$A78)+COUNTIF(Schedule!$J$4:$J$33,$A78)</f>
        <v/>
      </c>
      <c r="G78">
        <f>COUNTIF(Schedule!$K$4:$K$33,$A78)</f>
        <v/>
      </c>
      <c r="H78">
        <f>COUNTIF(Schedule!$L$4:$L$33,$A78)</f>
        <v/>
      </c>
      <c r="I78">
        <f>COUNTIF(Schedule!$M$4:$M$33,$A78)</f>
        <v/>
      </c>
      <c r="J78">
        <f>SUM(H78:I78)</f>
        <v/>
      </c>
      <c r="K78">
        <f>IF(B78&lt;=INDEX(Personnel!$M:$M,MATCH($A78,Personnel!$A:$A,0)),"OK","ΥΠΕΡΒΑΣΗ")</f>
        <v/>
      </c>
      <c r="L78">
        <f>IF(C78&lt;=INDEX(Personnel!$N:$N,MATCH($A78,Personnel!$A:$A,0)),"OK","ΠΟΛΛΑ ΣΚ")</f>
        <v/>
      </c>
    </row>
    <row r="79">
      <c r="A79" t="inlineStr">
        <is>
          <t>Στρατιώτης 078</t>
        </is>
      </c>
      <c r="B79">
        <f>SUM(D79:G79)</f>
        <v/>
      </c>
      <c r="C79">
        <f>COUNTIFS(Schedule!$A$4:$A$33,"Σάββατο",Schedule!$C$4:$C$33,$A79)+COUNTIFS(Schedule!$A$4:$A$33,"Σάββατο",Schedule!$D$4:$D$33,$A79)+COUNTIFS(Schedule!$A$4:$A$33,"Σάββατο",Schedule!$E$4:$E$33,$A79)+COUNTIFS(Schedule!$A$4:$A$33,"Σάββατο",Schedule!$G$4:$G$33,$A79)+COUNTIFS(Schedule!$A$4:$A$33,"Σάββατο",Schedule!$H$4:$H$33,$A79)+COUNTIFS(Schedule!$A$4:$A$33,"Σάββατο",Schedule!$I$4:$I$33,$A79)+COUNTIFS(Schedule!$A$4:$A$33,"Σάββατο",Schedule!$J$4:$J$33,$A79)+COUNTIFS(Schedule!$A$4:$A$33,"Σάββατο",Schedule!$K$4:$K$33,$A79)+COUNTIFS(Schedule!$A$4:$A$33,"Κυριακή",Schedule!$C$4:$C$33,$A79)+COUNTIFS(Schedule!$A$4:$A$33,"Κυριακή",Schedule!$D$4:$D$33,$A79)+COUNTIFS(Schedule!$A$4:$A$33,"Κυριακή",Schedule!$E$4:$E$33,$A79)+COUNTIFS(Schedule!$A$4:$A$33,"Κυριακή",Schedule!$G$4:$G$33,$A79)+COUNTIFS(Schedule!$A$4:$A$33,"Κυριακή",Schedule!$H$4:$H$33,$A79)+COUNTIFS(Schedule!$A$4:$A$33,"Κυριακή",Schedule!$I$4:$I$33,$A79)+COUNTIFS(Schedule!$A$4:$A$33,"Κυριακή",Schedule!$J$4:$J$33,$A79)+COUNTIFS(Schedule!$A$4:$A$33,"Κυριακή",Schedule!$K$4:$K$33,$A79)</f>
        <v/>
      </c>
      <c r="D79">
        <f>COUNTIF(Schedule!$C$4:$C$33,$A79)+COUNTIF(Schedule!$D$4:$D$33,$A79)+COUNTIF(Schedule!$E$4:$E$33,$A79)</f>
        <v/>
      </c>
      <c r="E79">
        <f>COUNTIF(Schedule!$G$4:$G$33,$A79)+COUNTIF(Schedule!$H$4:$H$33,$A79)</f>
        <v/>
      </c>
      <c r="F79">
        <f>COUNTIF(Schedule!$I$4:$I$33,$A79)+COUNTIF(Schedule!$J$4:$J$33,$A79)</f>
        <v/>
      </c>
      <c r="G79">
        <f>COUNTIF(Schedule!$K$4:$K$33,$A79)</f>
        <v/>
      </c>
      <c r="H79">
        <f>COUNTIF(Schedule!$L$4:$L$33,$A79)</f>
        <v/>
      </c>
      <c r="I79">
        <f>COUNTIF(Schedule!$M$4:$M$33,$A79)</f>
        <v/>
      </c>
      <c r="J79">
        <f>SUM(H79:I79)</f>
        <v/>
      </c>
      <c r="K79">
        <f>IF(B79&lt;=INDEX(Personnel!$M:$M,MATCH($A79,Personnel!$A:$A,0)),"OK","ΥΠΕΡΒΑΣΗ")</f>
        <v/>
      </c>
      <c r="L79">
        <f>IF(C79&lt;=INDEX(Personnel!$N:$N,MATCH($A79,Personnel!$A:$A,0)),"OK","ΠΟΛΛΑ ΣΚ")</f>
        <v/>
      </c>
    </row>
    <row r="80">
      <c r="A80" t="inlineStr">
        <is>
          <t>Στρατιώτης 079</t>
        </is>
      </c>
      <c r="B80">
        <f>SUM(D80:G80)</f>
        <v/>
      </c>
      <c r="C80">
        <f>COUNTIFS(Schedule!$A$4:$A$33,"Σάββατο",Schedule!$C$4:$C$33,$A80)+COUNTIFS(Schedule!$A$4:$A$33,"Σάββατο",Schedule!$D$4:$D$33,$A80)+COUNTIFS(Schedule!$A$4:$A$33,"Σάββατο",Schedule!$E$4:$E$33,$A80)+COUNTIFS(Schedule!$A$4:$A$33,"Σάββατο",Schedule!$G$4:$G$33,$A80)+COUNTIFS(Schedule!$A$4:$A$33,"Σάββατο",Schedule!$H$4:$H$33,$A80)+COUNTIFS(Schedule!$A$4:$A$33,"Σάββατο",Schedule!$I$4:$I$33,$A80)+COUNTIFS(Schedule!$A$4:$A$33,"Σάββατο",Schedule!$J$4:$J$33,$A80)+COUNTIFS(Schedule!$A$4:$A$33,"Σάββατο",Schedule!$K$4:$K$33,$A80)+COUNTIFS(Schedule!$A$4:$A$33,"Κυριακή",Schedule!$C$4:$C$33,$A80)+COUNTIFS(Schedule!$A$4:$A$33,"Κυριακή",Schedule!$D$4:$D$33,$A80)+COUNTIFS(Schedule!$A$4:$A$33,"Κυριακή",Schedule!$E$4:$E$33,$A80)+COUNTIFS(Schedule!$A$4:$A$33,"Κυριακή",Schedule!$G$4:$G$33,$A80)+COUNTIFS(Schedule!$A$4:$A$33,"Κυριακή",Schedule!$H$4:$H$33,$A80)+COUNTIFS(Schedule!$A$4:$A$33,"Κυριακή",Schedule!$I$4:$I$33,$A80)+COUNTIFS(Schedule!$A$4:$A$33,"Κυριακή",Schedule!$J$4:$J$33,$A80)+COUNTIFS(Schedule!$A$4:$A$33,"Κυριακή",Schedule!$K$4:$K$33,$A80)</f>
        <v/>
      </c>
      <c r="D80">
        <f>COUNTIF(Schedule!$C$4:$C$33,$A80)+COUNTIF(Schedule!$D$4:$D$33,$A80)+COUNTIF(Schedule!$E$4:$E$33,$A80)</f>
        <v/>
      </c>
      <c r="E80">
        <f>COUNTIF(Schedule!$G$4:$G$33,$A80)+COUNTIF(Schedule!$H$4:$H$33,$A80)</f>
        <v/>
      </c>
      <c r="F80">
        <f>COUNTIF(Schedule!$I$4:$I$33,$A80)+COUNTIF(Schedule!$J$4:$J$33,$A80)</f>
        <v/>
      </c>
      <c r="G80">
        <f>COUNTIF(Schedule!$K$4:$K$33,$A80)</f>
        <v/>
      </c>
      <c r="H80">
        <f>COUNTIF(Schedule!$L$4:$L$33,$A80)</f>
        <v/>
      </c>
      <c r="I80">
        <f>COUNTIF(Schedule!$M$4:$M$33,$A80)</f>
        <v/>
      </c>
      <c r="J80">
        <f>SUM(H80:I80)</f>
        <v/>
      </c>
      <c r="K80">
        <f>IF(B80&lt;=INDEX(Personnel!$M:$M,MATCH($A80,Personnel!$A:$A,0)),"OK","ΥΠΕΡΒΑΣΗ")</f>
        <v/>
      </c>
      <c r="L80">
        <f>IF(C80&lt;=INDEX(Personnel!$N:$N,MATCH($A80,Personnel!$A:$A,0)),"OK","ΠΟΛΛΑ ΣΚ")</f>
        <v/>
      </c>
    </row>
    <row r="81">
      <c r="A81" t="inlineStr">
        <is>
          <t>Στρατιώτης 080</t>
        </is>
      </c>
      <c r="B81">
        <f>SUM(D81:G81)</f>
        <v/>
      </c>
      <c r="C81">
        <f>COUNTIFS(Schedule!$A$4:$A$33,"Σάββατο",Schedule!$C$4:$C$33,$A81)+COUNTIFS(Schedule!$A$4:$A$33,"Σάββατο",Schedule!$D$4:$D$33,$A81)+COUNTIFS(Schedule!$A$4:$A$33,"Σάββατο",Schedule!$E$4:$E$33,$A81)+COUNTIFS(Schedule!$A$4:$A$33,"Σάββατο",Schedule!$G$4:$G$33,$A81)+COUNTIFS(Schedule!$A$4:$A$33,"Σάββατο",Schedule!$H$4:$H$33,$A81)+COUNTIFS(Schedule!$A$4:$A$33,"Σάββατο",Schedule!$I$4:$I$33,$A81)+COUNTIFS(Schedule!$A$4:$A$33,"Σάββατο",Schedule!$J$4:$J$33,$A81)+COUNTIFS(Schedule!$A$4:$A$33,"Σάββατο",Schedule!$K$4:$K$33,$A81)+COUNTIFS(Schedule!$A$4:$A$33,"Κυριακή",Schedule!$C$4:$C$33,$A81)+COUNTIFS(Schedule!$A$4:$A$33,"Κυριακή",Schedule!$D$4:$D$33,$A81)+COUNTIFS(Schedule!$A$4:$A$33,"Κυριακή",Schedule!$E$4:$E$33,$A81)+COUNTIFS(Schedule!$A$4:$A$33,"Κυριακή",Schedule!$G$4:$G$33,$A81)+COUNTIFS(Schedule!$A$4:$A$33,"Κυριακή",Schedule!$H$4:$H$33,$A81)+COUNTIFS(Schedule!$A$4:$A$33,"Κυριακή",Schedule!$I$4:$I$33,$A81)+COUNTIFS(Schedule!$A$4:$A$33,"Κυριακή",Schedule!$J$4:$J$33,$A81)+COUNTIFS(Schedule!$A$4:$A$33,"Κυριακή",Schedule!$K$4:$K$33,$A81)</f>
        <v/>
      </c>
      <c r="D81">
        <f>COUNTIF(Schedule!$C$4:$C$33,$A81)+COUNTIF(Schedule!$D$4:$D$33,$A81)+COUNTIF(Schedule!$E$4:$E$33,$A81)</f>
        <v/>
      </c>
      <c r="E81">
        <f>COUNTIF(Schedule!$G$4:$G$33,$A81)+COUNTIF(Schedule!$H$4:$H$33,$A81)</f>
        <v/>
      </c>
      <c r="F81">
        <f>COUNTIF(Schedule!$I$4:$I$33,$A81)+COUNTIF(Schedule!$J$4:$J$33,$A81)</f>
        <v/>
      </c>
      <c r="G81">
        <f>COUNTIF(Schedule!$K$4:$K$33,$A81)</f>
        <v/>
      </c>
      <c r="H81">
        <f>COUNTIF(Schedule!$L$4:$L$33,$A81)</f>
        <v/>
      </c>
      <c r="I81">
        <f>COUNTIF(Schedule!$M$4:$M$33,$A81)</f>
        <v/>
      </c>
      <c r="J81">
        <f>SUM(H81:I81)</f>
        <v/>
      </c>
      <c r="K81">
        <f>IF(B81&lt;=INDEX(Personnel!$M:$M,MATCH($A81,Personnel!$A:$A,0)),"OK","ΥΠΕΡΒΑΣΗ")</f>
        <v/>
      </c>
      <c r="L81">
        <f>IF(C81&lt;=INDEX(Personnel!$N:$N,MATCH($A81,Personnel!$A:$A,0)),"OK","ΠΟΛΛΑ ΣΚ")</f>
        <v/>
      </c>
    </row>
    <row r="82">
      <c r="A82" t="inlineStr">
        <is>
          <t>Στρατιώτης 081</t>
        </is>
      </c>
      <c r="B82">
        <f>SUM(D82:G82)</f>
        <v/>
      </c>
      <c r="C82">
        <f>COUNTIFS(Schedule!$A$4:$A$33,"Σάββατο",Schedule!$C$4:$C$33,$A82)+COUNTIFS(Schedule!$A$4:$A$33,"Σάββατο",Schedule!$D$4:$D$33,$A82)+COUNTIFS(Schedule!$A$4:$A$33,"Σάββατο",Schedule!$E$4:$E$33,$A82)+COUNTIFS(Schedule!$A$4:$A$33,"Σάββατο",Schedule!$G$4:$G$33,$A82)+COUNTIFS(Schedule!$A$4:$A$33,"Σάββατο",Schedule!$H$4:$H$33,$A82)+COUNTIFS(Schedule!$A$4:$A$33,"Σάββατο",Schedule!$I$4:$I$33,$A82)+COUNTIFS(Schedule!$A$4:$A$33,"Σάββατο",Schedule!$J$4:$J$33,$A82)+COUNTIFS(Schedule!$A$4:$A$33,"Σάββατο",Schedule!$K$4:$K$33,$A82)+COUNTIFS(Schedule!$A$4:$A$33,"Κυριακή",Schedule!$C$4:$C$33,$A82)+COUNTIFS(Schedule!$A$4:$A$33,"Κυριακή",Schedule!$D$4:$D$33,$A82)+COUNTIFS(Schedule!$A$4:$A$33,"Κυριακή",Schedule!$E$4:$E$33,$A82)+COUNTIFS(Schedule!$A$4:$A$33,"Κυριακή",Schedule!$G$4:$G$33,$A82)+COUNTIFS(Schedule!$A$4:$A$33,"Κυριακή",Schedule!$H$4:$H$33,$A82)+COUNTIFS(Schedule!$A$4:$A$33,"Κυριακή",Schedule!$I$4:$I$33,$A82)+COUNTIFS(Schedule!$A$4:$A$33,"Κυριακή",Schedule!$J$4:$J$33,$A82)+COUNTIFS(Schedule!$A$4:$A$33,"Κυριακή",Schedule!$K$4:$K$33,$A82)</f>
        <v/>
      </c>
      <c r="D82">
        <f>COUNTIF(Schedule!$C$4:$C$33,$A82)+COUNTIF(Schedule!$D$4:$D$33,$A82)+COUNTIF(Schedule!$E$4:$E$33,$A82)</f>
        <v/>
      </c>
      <c r="E82">
        <f>COUNTIF(Schedule!$G$4:$G$33,$A82)+COUNTIF(Schedule!$H$4:$H$33,$A82)</f>
        <v/>
      </c>
      <c r="F82">
        <f>COUNTIF(Schedule!$I$4:$I$33,$A82)+COUNTIF(Schedule!$J$4:$J$33,$A82)</f>
        <v/>
      </c>
      <c r="G82">
        <f>COUNTIF(Schedule!$K$4:$K$33,$A82)</f>
        <v/>
      </c>
      <c r="H82">
        <f>COUNTIF(Schedule!$L$4:$L$33,$A82)</f>
        <v/>
      </c>
      <c r="I82">
        <f>COUNTIF(Schedule!$M$4:$M$33,$A82)</f>
        <v/>
      </c>
      <c r="J82">
        <f>SUM(H82:I82)</f>
        <v/>
      </c>
      <c r="K82">
        <f>IF(B82&lt;=INDEX(Personnel!$M:$M,MATCH($A82,Personnel!$A:$A,0)),"OK","ΥΠΕΡΒΑΣΗ")</f>
        <v/>
      </c>
      <c r="L82">
        <f>IF(C82&lt;=INDEX(Personnel!$N:$N,MATCH($A82,Personnel!$A:$A,0)),"OK","ΠΟΛΛΑ ΣΚ")</f>
        <v/>
      </c>
    </row>
    <row r="83">
      <c r="A83" t="inlineStr">
        <is>
          <t>Στρατιώτης 082</t>
        </is>
      </c>
      <c r="B83">
        <f>SUM(D83:G83)</f>
        <v/>
      </c>
      <c r="C83">
        <f>COUNTIFS(Schedule!$A$4:$A$33,"Σάββατο",Schedule!$C$4:$C$33,$A83)+COUNTIFS(Schedule!$A$4:$A$33,"Σάββατο",Schedule!$D$4:$D$33,$A83)+COUNTIFS(Schedule!$A$4:$A$33,"Σάββατο",Schedule!$E$4:$E$33,$A83)+COUNTIFS(Schedule!$A$4:$A$33,"Σάββατο",Schedule!$G$4:$G$33,$A83)+COUNTIFS(Schedule!$A$4:$A$33,"Σάββατο",Schedule!$H$4:$H$33,$A83)+COUNTIFS(Schedule!$A$4:$A$33,"Σάββατο",Schedule!$I$4:$I$33,$A83)+COUNTIFS(Schedule!$A$4:$A$33,"Σάββατο",Schedule!$J$4:$J$33,$A83)+COUNTIFS(Schedule!$A$4:$A$33,"Σάββατο",Schedule!$K$4:$K$33,$A83)+COUNTIFS(Schedule!$A$4:$A$33,"Κυριακή",Schedule!$C$4:$C$33,$A83)+COUNTIFS(Schedule!$A$4:$A$33,"Κυριακή",Schedule!$D$4:$D$33,$A83)+COUNTIFS(Schedule!$A$4:$A$33,"Κυριακή",Schedule!$E$4:$E$33,$A83)+COUNTIFS(Schedule!$A$4:$A$33,"Κυριακή",Schedule!$G$4:$G$33,$A83)+COUNTIFS(Schedule!$A$4:$A$33,"Κυριακή",Schedule!$H$4:$H$33,$A83)+COUNTIFS(Schedule!$A$4:$A$33,"Κυριακή",Schedule!$I$4:$I$33,$A83)+COUNTIFS(Schedule!$A$4:$A$33,"Κυριακή",Schedule!$J$4:$J$33,$A83)+COUNTIFS(Schedule!$A$4:$A$33,"Κυριακή",Schedule!$K$4:$K$33,$A83)</f>
        <v/>
      </c>
      <c r="D83">
        <f>COUNTIF(Schedule!$C$4:$C$33,$A83)+COUNTIF(Schedule!$D$4:$D$33,$A83)+COUNTIF(Schedule!$E$4:$E$33,$A83)</f>
        <v/>
      </c>
      <c r="E83">
        <f>COUNTIF(Schedule!$G$4:$G$33,$A83)+COUNTIF(Schedule!$H$4:$H$33,$A83)</f>
        <v/>
      </c>
      <c r="F83">
        <f>COUNTIF(Schedule!$I$4:$I$33,$A83)+COUNTIF(Schedule!$J$4:$J$33,$A83)</f>
        <v/>
      </c>
      <c r="G83">
        <f>COUNTIF(Schedule!$K$4:$K$33,$A83)</f>
        <v/>
      </c>
      <c r="H83">
        <f>COUNTIF(Schedule!$L$4:$L$33,$A83)</f>
        <v/>
      </c>
      <c r="I83">
        <f>COUNTIF(Schedule!$M$4:$M$33,$A83)</f>
        <v/>
      </c>
      <c r="J83">
        <f>SUM(H83:I83)</f>
        <v/>
      </c>
      <c r="K83">
        <f>IF(B83&lt;=INDEX(Personnel!$M:$M,MATCH($A83,Personnel!$A:$A,0)),"OK","ΥΠΕΡΒΑΣΗ")</f>
        <v/>
      </c>
      <c r="L83">
        <f>IF(C83&lt;=INDEX(Personnel!$N:$N,MATCH($A83,Personnel!$A:$A,0)),"OK","ΠΟΛΛΑ ΣΚ")</f>
        <v/>
      </c>
    </row>
    <row r="84">
      <c r="A84" t="inlineStr">
        <is>
          <t>Στρατιώτης 083</t>
        </is>
      </c>
      <c r="B84">
        <f>SUM(D84:G84)</f>
        <v/>
      </c>
      <c r="C84">
        <f>COUNTIFS(Schedule!$A$4:$A$33,"Σάββατο",Schedule!$C$4:$C$33,$A84)+COUNTIFS(Schedule!$A$4:$A$33,"Σάββατο",Schedule!$D$4:$D$33,$A84)+COUNTIFS(Schedule!$A$4:$A$33,"Σάββατο",Schedule!$E$4:$E$33,$A84)+COUNTIFS(Schedule!$A$4:$A$33,"Σάββατο",Schedule!$G$4:$G$33,$A84)+COUNTIFS(Schedule!$A$4:$A$33,"Σάββατο",Schedule!$H$4:$H$33,$A84)+COUNTIFS(Schedule!$A$4:$A$33,"Σάββατο",Schedule!$I$4:$I$33,$A84)+COUNTIFS(Schedule!$A$4:$A$33,"Σάββατο",Schedule!$J$4:$J$33,$A84)+COUNTIFS(Schedule!$A$4:$A$33,"Σάββατο",Schedule!$K$4:$K$33,$A84)+COUNTIFS(Schedule!$A$4:$A$33,"Κυριακή",Schedule!$C$4:$C$33,$A84)+COUNTIFS(Schedule!$A$4:$A$33,"Κυριακή",Schedule!$D$4:$D$33,$A84)+COUNTIFS(Schedule!$A$4:$A$33,"Κυριακή",Schedule!$E$4:$E$33,$A84)+COUNTIFS(Schedule!$A$4:$A$33,"Κυριακή",Schedule!$G$4:$G$33,$A84)+COUNTIFS(Schedule!$A$4:$A$33,"Κυριακή",Schedule!$H$4:$H$33,$A84)+COUNTIFS(Schedule!$A$4:$A$33,"Κυριακή",Schedule!$I$4:$I$33,$A84)+COUNTIFS(Schedule!$A$4:$A$33,"Κυριακή",Schedule!$J$4:$J$33,$A84)+COUNTIFS(Schedule!$A$4:$A$33,"Κυριακή",Schedule!$K$4:$K$33,$A84)</f>
        <v/>
      </c>
      <c r="D84">
        <f>COUNTIF(Schedule!$C$4:$C$33,$A84)+COUNTIF(Schedule!$D$4:$D$33,$A84)+COUNTIF(Schedule!$E$4:$E$33,$A84)</f>
        <v/>
      </c>
      <c r="E84">
        <f>COUNTIF(Schedule!$G$4:$G$33,$A84)+COUNTIF(Schedule!$H$4:$H$33,$A84)</f>
        <v/>
      </c>
      <c r="F84">
        <f>COUNTIF(Schedule!$I$4:$I$33,$A84)+COUNTIF(Schedule!$J$4:$J$33,$A84)</f>
        <v/>
      </c>
      <c r="G84">
        <f>COUNTIF(Schedule!$K$4:$K$33,$A84)</f>
        <v/>
      </c>
      <c r="H84">
        <f>COUNTIF(Schedule!$L$4:$L$33,$A84)</f>
        <v/>
      </c>
      <c r="I84">
        <f>COUNTIF(Schedule!$M$4:$M$33,$A84)</f>
        <v/>
      </c>
      <c r="J84">
        <f>SUM(H84:I84)</f>
        <v/>
      </c>
      <c r="K84">
        <f>IF(B84&lt;=INDEX(Personnel!$M:$M,MATCH($A84,Personnel!$A:$A,0)),"OK","ΥΠΕΡΒΑΣΗ")</f>
        <v/>
      </c>
      <c r="L84">
        <f>IF(C84&lt;=INDEX(Personnel!$N:$N,MATCH($A84,Personnel!$A:$A,0)),"OK","ΠΟΛΛΑ ΣΚ")</f>
        <v/>
      </c>
    </row>
    <row r="85">
      <c r="A85" t="inlineStr">
        <is>
          <t>Στρατιώτης 084</t>
        </is>
      </c>
      <c r="B85">
        <f>SUM(D85:G85)</f>
        <v/>
      </c>
      <c r="C85">
        <f>COUNTIFS(Schedule!$A$4:$A$33,"Σάββατο",Schedule!$C$4:$C$33,$A85)+COUNTIFS(Schedule!$A$4:$A$33,"Σάββατο",Schedule!$D$4:$D$33,$A85)+COUNTIFS(Schedule!$A$4:$A$33,"Σάββατο",Schedule!$E$4:$E$33,$A85)+COUNTIFS(Schedule!$A$4:$A$33,"Σάββατο",Schedule!$G$4:$G$33,$A85)+COUNTIFS(Schedule!$A$4:$A$33,"Σάββατο",Schedule!$H$4:$H$33,$A85)+COUNTIFS(Schedule!$A$4:$A$33,"Σάββατο",Schedule!$I$4:$I$33,$A85)+COUNTIFS(Schedule!$A$4:$A$33,"Σάββατο",Schedule!$J$4:$J$33,$A85)+COUNTIFS(Schedule!$A$4:$A$33,"Σάββατο",Schedule!$K$4:$K$33,$A85)+COUNTIFS(Schedule!$A$4:$A$33,"Κυριακή",Schedule!$C$4:$C$33,$A85)+COUNTIFS(Schedule!$A$4:$A$33,"Κυριακή",Schedule!$D$4:$D$33,$A85)+COUNTIFS(Schedule!$A$4:$A$33,"Κυριακή",Schedule!$E$4:$E$33,$A85)+COUNTIFS(Schedule!$A$4:$A$33,"Κυριακή",Schedule!$G$4:$G$33,$A85)+COUNTIFS(Schedule!$A$4:$A$33,"Κυριακή",Schedule!$H$4:$H$33,$A85)+COUNTIFS(Schedule!$A$4:$A$33,"Κυριακή",Schedule!$I$4:$I$33,$A85)+COUNTIFS(Schedule!$A$4:$A$33,"Κυριακή",Schedule!$J$4:$J$33,$A85)+COUNTIFS(Schedule!$A$4:$A$33,"Κυριακή",Schedule!$K$4:$K$33,$A85)</f>
        <v/>
      </c>
      <c r="D85">
        <f>COUNTIF(Schedule!$C$4:$C$33,$A85)+COUNTIF(Schedule!$D$4:$D$33,$A85)+COUNTIF(Schedule!$E$4:$E$33,$A85)</f>
        <v/>
      </c>
      <c r="E85">
        <f>COUNTIF(Schedule!$G$4:$G$33,$A85)+COUNTIF(Schedule!$H$4:$H$33,$A85)</f>
        <v/>
      </c>
      <c r="F85">
        <f>COUNTIF(Schedule!$I$4:$I$33,$A85)+COUNTIF(Schedule!$J$4:$J$33,$A85)</f>
        <v/>
      </c>
      <c r="G85">
        <f>COUNTIF(Schedule!$K$4:$K$33,$A85)</f>
        <v/>
      </c>
      <c r="H85">
        <f>COUNTIF(Schedule!$L$4:$L$33,$A85)</f>
        <v/>
      </c>
      <c r="I85">
        <f>COUNTIF(Schedule!$M$4:$M$33,$A85)</f>
        <v/>
      </c>
      <c r="J85">
        <f>SUM(H85:I85)</f>
        <v/>
      </c>
      <c r="K85">
        <f>IF(B85&lt;=INDEX(Personnel!$M:$M,MATCH($A85,Personnel!$A:$A,0)),"OK","ΥΠΕΡΒΑΣΗ")</f>
        <v/>
      </c>
      <c r="L85">
        <f>IF(C85&lt;=INDEX(Personnel!$N:$N,MATCH($A85,Personnel!$A:$A,0)),"OK","ΠΟΛΛΑ ΣΚ")</f>
        <v/>
      </c>
    </row>
    <row r="86">
      <c r="A86" t="inlineStr">
        <is>
          <t>Στρατιώτης 085</t>
        </is>
      </c>
      <c r="B86">
        <f>SUM(D86:G86)</f>
        <v/>
      </c>
      <c r="C86">
        <f>COUNTIFS(Schedule!$A$4:$A$33,"Σάββατο",Schedule!$C$4:$C$33,$A86)+COUNTIFS(Schedule!$A$4:$A$33,"Σάββατο",Schedule!$D$4:$D$33,$A86)+COUNTIFS(Schedule!$A$4:$A$33,"Σάββατο",Schedule!$E$4:$E$33,$A86)+COUNTIFS(Schedule!$A$4:$A$33,"Σάββατο",Schedule!$G$4:$G$33,$A86)+COUNTIFS(Schedule!$A$4:$A$33,"Σάββατο",Schedule!$H$4:$H$33,$A86)+COUNTIFS(Schedule!$A$4:$A$33,"Σάββατο",Schedule!$I$4:$I$33,$A86)+COUNTIFS(Schedule!$A$4:$A$33,"Σάββατο",Schedule!$J$4:$J$33,$A86)+COUNTIFS(Schedule!$A$4:$A$33,"Σάββατο",Schedule!$K$4:$K$33,$A86)+COUNTIFS(Schedule!$A$4:$A$33,"Κυριακή",Schedule!$C$4:$C$33,$A86)+COUNTIFS(Schedule!$A$4:$A$33,"Κυριακή",Schedule!$D$4:$D$33,$A86)+COUNTIFS(Schedule!$A$4:$A$33,"Κυριακή",Schedule!$E$4:$E$33,$A86)+COUNTIFS(Schedule!$A$4:$A$33,"Κυριακή",Schedule!$G$4:$G$33,$A86)+COUNTIFS(Schedule!$A$4:$A$33,"Κυριακή",Schedule!$H$4:$H$33,$A86)+COUNTIFS(Schedule!$A$4:$A$33,"Κυριακή",Schedule!$I$4:$I$33,$A86)+COUNTIFS(Schedule!$A$4:$A$33,"Κυριακή",Schedule!$J$4:$J$33,$A86)+COUNTIFS(Schedule!$A$4:$A$33,"Κυριακή",Schedule!$K$4:$K$33,$A86)</f>
        <v/>
      </c>
      <c r="D86">
        <f>COUNTIF(Schedule!$C$4:$C$33,$A86)+COUNTIF(Schedule!$D$4:$D$33,$A86)+COUNTIF(Schedule!$E$4:$E$33,$A86)</f>
        <v/>
      </c>
      <c r="E86">
        <f>COUNTIF(Schedule!$G$4:$G$33,$A86)+COUNTIF(Schedule!$H$4:$H$33,$A86)</f>
        <v/>
      </c>
      <c r="F86">
        <f>COUNTIF(Schedule!$I$4:$I$33,$A86)+COUNTIF(Schedule!$J$4:$J$33,$A86)</f>
        <v/>
      </c>
      <c r="G86">
        <f>COUNTIF(Schedule!$K$4:$K$33,$A86)</f>
        <v/>
      </c>
      <c r="H86">
        <f>COUNTIF(Schedule!$L$4:$L$33,$A86)</f>
        <v/>
      </c>
      <c r="I86">
        <f>COUNTIF(Schedule!$M$4:$M$33,$A86)</f>
        <v/>
      </c>
      <c r="J86">
        <f>SUM(H86:I86)</f>
        <v/>
      </c>
      <c r="K86">
        <f>IF(B86&lt;=INDEX(Personnel!$M:$M,MATCH($A86,Personnel!$A:$A,0)),"OK","ΥΠΕΡΒΑΣΗ")</f>
        <v/>
      </c>
      <c r="L86">
        <f>IF(C86&lt;=INDEX(Personnel!$N:$N,MATCH($A86,Personnel!$A:$A,0)),"OK","ΠΟΛΛΑ ΣΚ")</f>
        <v/>
      </c>
    </row>
    <row r="87">
      <c r="A87" t="inlineStr">
        <is>
          <t>Στρατιώτης 086</t>
        </is>
      </c>
      <c r="B87">
        <f>SUM(D87:G87)</f>
        <v/>
      </c>
      <c r="C87">
        <f>COUNTIFS(Schedule!$A$4:$A$33,"Σάββατο",Schedule!$C$4:$C$33,$A87)+COUNTIFS(Schedule!$A$4:$A$33,"Σάββατο",Schedule!$D$4:$D$33,$A87)+COUNTIFS(Schedule!$A$4:$A$33,"Σάββατο",Schedule!$E$4:$E$33,$A87)+COUNTIFS(Schedule!$A$4:$A$33,"Σάββατο",Schedule!$G$4:$G$33,$A87)+COUNTIFS(Schedule!$A$4:$A$33,"Σάββατο",Schedule!$H$4:$H$33,$A87)+COUNTIFS(Schedule!$A$4:$A$33,"Σάββατο",Schedule!$I$4:$I$33,$A87)+COUNTIFS(Schedule!$A$4:$A$33,"Σάββατο",Schedule!$J$4:$J$33,$A87)+COUNTIFS(Schedule!$A$4:$A$33,"Σάββατο",Schedule!$K$4:$K$33,$A87)+COUNTIFS(Schedule!$A$4:$A$33,"Κυριακή",Schedule!$C$4:$C$33,$A87)+COUNTIFS(Schedule!$A$4:$A$33,"Κυριακή",Schedule!$D$4:$D$33,$A87)+COUNTIFS(Schedule!$A$4:$A$33,"Κυριακή",Schedule!$E$4:$E$33,$A87)+COUNTIFS(Schedule!$A$4:$A$33,"Κυριακή",Schedule!$G$4:$G$33,$A87)+COUNTIFS(Schedule!$A$4:$A$33,"Κυριακή",Schedule!$H$4:$H$33,$A87)+COUNTIFS(Schedule!$A$4:$A$33,"Κυριακή",Schedule!$I$4:$I$33,$A87)+COUNTIFS(Schedule!$A$4:$A$33,"Κυριακή",Schedule!$J$4:$J$33,$A87)+COUNTIFS(Schedule!$A$4:$A$33,"Κυριακή",Schedule!$K$4:$K$33,$A87)</f>
        <v/>
      </c>
      <c r="D87">
        <f>COUNTIF(Schedule!$C$4:$C$33,$A87)+COUNTIF(Schedule!$D$4:$D$33,$A87)+COUNTIF(Schedule!$E$4:$E$33,$A87)</f>
        <v/>
      </c>
      <c r="E87">
        <f>COUNTIF(Schedule!$G$4:$G$33,$A87)+COUNTIF(Schedule!$H$4:$H$33,$A87)</f>
        <v/>
      </c>
      <c r="F87">
        <f>COUNTIF(Schedule!$I$4:$I$33,$A87)+COUNTIF(Schedule!$J$4:$J$33,$A87)</f>
        <v/>
      </c>
      <c r="G87">
        <f>COUNTIF(Schedule!$K$4:$K$33,$A87)</f>
        <v/>
      </c>
      <c r="H87">
        <f>COUNTIF(Schedule!$L$4:$L$33,$A87)</f>
        <v/>
      </c>
      <c r="I87">
        <f>COUNTIF(Schedule!$M$4:$M$33,$A87)</f>
        <v/>
      </c>
      <c r="J87">
        <f>SUM(H87:I87)</f>
        <v/>
      </c>
      <c r="K87">
        <f>IF(B87&lt;=INDEX(Personnel!$M:$M,MATCH($A87,Personnel!$A:$A,0)),"OK","ΥΠΕΡΒΑΣΗ")</f>
        <v/>
      </c>
      <c r="L87">
        <f>IF(C87&lt;=INDEX(Personnel!$N:$N,MATCH($A87,Personnel!$A:$A,0)),"OK","ΠΟΛΛΑ ΣΚ")</f>
        <v/>
      </c>
    </row>
    <row r="88">
      <c r="A88" t="inlineStr">
        <is>
          <t>Στρατιώτης 087</t>
        </is>
      </c>
      <c r="B88">
        <f>SUM(D88:G88)</f>
        <v/>
      </c>
      <c r="C88">
        <f>COUNTIFS(Schedule!$A$4:$A$33,"Σάββατο",Schedule!$C$4:$C$33,$A88)+COUNTIFS(Schedule!$A$4:$A$33,"Σάββατο",Schedule!$D$4:$D$33,$A88)+COUNTIFS(Schedule!$A$4:$A$33,"Σάββατο",Schedule!$E$4:$E$33,$A88)+COUNTIFS(Schedule!$A$4:$A$33,"Σάββατο",Schedule!$G$4:$G$33,$A88)+COUNTIFS(Schedule!$A$4:$A$33,"Σάββατο",Schedule!$H$4:$H$33,$A88)+COUNTIFS(Schedule!$A$4:$A$33,"Σάββατο",Schedule!$I$4:$I$33,$A88)+COUNTIFS(Schedule!$A$4:$A$33,"Σάββατο",Schedule!$J$4:$J$33,$A88)+COUNTIFS(Schedule!$A$4:$A$33,"Σάββατο",Schedule!$K$4:$K$33,$A88)+COUNTIFS(Schedule!$A$4:$A$33,"Κυριακή",Schedule!$C$4:$C$33,$A88)+COUNTIFS(Schedule!$A$4:$A$33,"Κυριακή",Schedule!$D$4:$D$33,$A88)+COUNTIFS(Schedule!$A$4:$A$33,"Κυριακή",Schedule!$E$4:$E$33,$A88)+COUNTIFS(Schedule!$A$4:$A$33,"Κυριακή",Schedule!$G$4:$G$33,$A88)+COUNTIFS(Schedule!$A$4:$A$33,"Κυριακή",Schedule!$H$4:$H$33,$A88)+COUNTIFS(Schedule!$A$4:$A$33,"Κυριακή",Schedule!$I$4:$I$33,$A88)+COUNTIFS(Schedule!$A$4:$A$33,"Κυριακή",Schedule!$J$4:$J$33,$A88)+COUNTIFS(Schedule!$A$4:$A$33,"Κυριακή",Schedule!$K$4:$K$33,$A88)</f>
        <v/>
      </c>
      <c r="D88">
        <f>COUNTIF(Schedule!$C$4:$C$33,$A88)+COUNTIF(Schedule!$D$4:$D$33,$A88)+COUNTIF(Schedule!$E$4:$E$33,$A88)</f>
        <v/>
      </c>
      <c r="E88">
        <f>COUNTIF(Schedule!$G$4:$G$33,$A88)+COUNTIF(Schedule!$H$4:$H$33,$A88)</f>
        <v/>
      </c>
      <c r="F88">
        <f>COUNTIF(Schedule!$I$4:$I$33,$A88)+COUNTIF(Schedule!$J$4:$J$33,$A88)</f>
        <v/>
      </c>
      <c r="G88">
        <f>COUNTIF(Schedule!$K$4:$K$33,$A88)</f>
        <v/>
      </c>
      <c r="H88">
        <f>COUNTIF(Schedule!$L$4:$L$33,$A88)</f>
        <v/>
      </c>
      <c r="I88">
        <f>COUNTIF(Schedule!$M$4:$M$33,$A88)</f>
        <v/>
      </c>
      <c r="J88">
        <f>SUM(H88:I88)</f>
        <v/>
      </c>
      <c r="K88">
        <f>IF(B88&lt;=INDEX(Personnel!$M:$M,MATCH($A88,Personnel!$A:$A,0)),"OK","ΥΠΕΡΒΑΣΗ")</f>
        <v/>
      </c>
      <c r="L88">
        <f>IF(C88&lt;=INDEX(Personnel!$N:$N,MATCH($A88,Personnel!$A:$A,0)),"OK","ΠΟΛΛΑ ΣΚ")</f>
        <v/>
      </c>
    </row>
    <row r="89">
      <c r="A89" t="inlineStr">
        <is>
          <t>Στρατιώτης 088</t>
        </is>
      </c>
      <c r="B89">
        <f>SUM(D89:G89)</f>
        <v/>
      </c>
      <c r="C89">
        <f>COUNTIFS(Schedule!$A$4:$A$33,"Σάββατο",Schedule!$C$4:$C$33,$A89)+COUNTIFS(Schedule!$A$4:$A$33,"Σάββατο",Schedule!$D$4:$D$33,$A89)+COUNTIFS(Schedule!$A$4:$A$33,"Σάββατο",Schedule!$E$4:$E$33,$A89)+COUNTIFS(Schedule!$A$4:$A$33,"Σάββατο",Schedule!$G$4:$G$33,$A89)+COUNTIFS(Schedule!$A$4:$A$33,"Σάββατο",Schedule!$H$4:$H$33,$A89)+COUNTIFS(Schedule!$A$4:$A$33,"Σάββατο",Schedule!$I$4:$I$33,$A89)+COUNTIFS(Schedule!$A$4:$A$33,"Σάββατο",Schedule!$J$4:$J$33,$A89)+COUNTIFS(Schedule!$A$4:$A$33,"Σάββατο",Schedule!$K$4:$K$33,$A89)+COUNTIFS(Schedule!$A$4:$A$33,"Κυριακή",Schedule!$C$4:$C$33,$A89)+COUNTIFS(Schedule!$A$4:$A$33,"Κυριακή",Schedule!$D$4:$D$33,$A89)+COUNTIFS(Schedule!$A$4:$A$33,"Κυριακή",Schedule!$E$4:$E$33,$A89)+COUNTIFS(Schedule!$A$4:$A$33,"Κυριακή",Schedule!$G$4:$G$33,$A89)+COUNTIFS(Schedule!$A$4:$A$33,"Κυριακή",Schedule!$H$4:$H$33,$A89)+COUNTIFS(Schedule!$A$4:$A$33,"Κυριακή",Schedule!$I$4:$I$33,$A89)+COUNTIFS(Schedule!$A$4:$A$33,"Κυριακή",Schedule!$J$4:$J$33,$A89)+COUNTIFS(Schedule!$A$4:$A$33,"Κυριακή",Schedule!$K$4:$K$33,$A89)</f>
        <v/>
      </c>
      <c r="D89">
        <f>COUNTIF(Schedule!$C$4:$C$33,$A89)+COUNTIF(Schedule!$D$4:$D$33,$A89)+COUNTIF(Schedule!$E$4:$E$33,$A89)</f>
        <v/>
      </c>
      <c r="E89">
        <f>COUNTIF(Schedule!$G$4:$G$33,$A89)+COUNTIF(Schedule!$H$4:$H$33,$A89)</f>
        <v/>
      </c>
      <c r="F89">
        <f>COUNTIF(Schedule!$I$4:$I$33,$A89)+COUNTIF(Schedule!$J$4:$J$33,$A89)</f>
        <v/>
      </c>
      <c r="G89">
        <f>COUNTIF(Schedule!$K$4:$K$33,$A89)</f>
        <v/>
      </c>
      <c r="H89">
        <f>COUNTIF(Schedule!$L$4:$L$33,$A89)</f>
        <v/>
      </c>
      <c r="I89">
        <f>COUNTIF(Schedule!$M$4:$M$33,$A89)</f>
        <v/>
      </c>
      <c r="J89">
        <f>SUM(H89:I89)</f>
        <v/>
      </c>
      <c r="K89">
        <f>IF(B89&lt;=INDEX(Personnel!$M:$M,MATCH($A89,Personnel!$A:$A,0)),"OK","ΥΠΕΡΒΑΣΗ")</f>
        <v/>
      </c>
      <c r="L89">
        <f>IF(C89&lt;=INDEX(Personnel!$N:$N,MATCH($A89,Personnel!$A:$A,0)),"OK","ΠΟΛΛΑ ΣΚ")</f>
        <v/>
      </c>
    </row>
    <row r="90">
      <c r="A90" t="inlineStr">
        <is>
          <t>Στρατιώτης 089</t>
        </is>
      </c>
      <c r="B90">
        <f>SUM(D90:G90)</f>
        <v/>
      </c>
      <c r="C90">
        <f>COUNTIFS(Schedule!$A$4:$A$33,"Σάββατο",Schedule!$C$4:$C$33,$A90)+COUNTIFS(Schedule!$A$4:$A$33,"Σάββατο",Schedule!$D$4:$D$33,$A90)+COUNTIFS(Schedule!$A$4:$A$33,"Σάββατο",Schedule!$E$4:$E$33,$A90)+COUNTIFS(Schedule!$A$4:$A$33,"Σάββατο",Schedule!$G$4:$G$33,$A90)+COUNTIFS(Schedule!$A$4:$A$33,"Σάββατο",Schedule!$H$4:$H$33,$A90)+COUNTIFS(Schedule!$A$4:$A$33,"Σάββατο",Schedule!$I$4:$I$33,$A90)+COUNTIFS(Schedule!$A$4:$A$33,"Σάββατο",Schedule!$J$4:$J$33,$A90)+COUNTIFS(Schedule!$A$4:$A$33,"Σάββατο",Schedule!$K$4:$K$33,$A90)+COUNTIFS(Schedule!$A$4:$A$33,"Κυριακή",Schedule!$C$4:$C$33,$A90)+COUNTIFS(Schedule!$A$4:$A$33,"Κυριακή",Schedule!$D$4:$D$33,$A90)+COUNTIFS(Schedule!$A$4:$A$33,"Κυριακή",Schedule!$E$4:$E$33,$A90)+COUNTIFS(Schedule!$A$4:$A$33,"Κυριακή",Schedule!$G$4:$G$33,$A90)+COUNTIFS(Schedule!$A$4:$A$33,"Κυριακή",Schedule!$H$4:$H$33,$A90)+COUNTIFS(Schedule!$A$4:$A$33,"Κυριακή",Schedule!$I$4:$I$33,$A90)+COUNTIFS(Schedule!$A$4:$A$33,"Κυριακή",Schedule!$J$4:$J$33,$A90)+COUNTIFS(Schedule!$A$4:$A$33,"Κυριακή",Schedule!$K$4:$K$33,$A90)</f>
        <v/>
      </c>
      <c r="D90">
        <f>COUNTIF(Schedule!$C$4:$C$33,$A90)+COUNTIF(Schedule!$D$4:$D$33,$A90)+COUNTIF(Schedule!$E$4:$E$33,$A90)</f>
        <v/>
      </c>
      <c r="E90">
        <f>COUNTIF(Schedule!$G$4:$G$33,$A90)+COUNTIF(Schedule!$H$4:$H$33,$A90)</f>
        <v/>
      </c>
      <c r="F90">
        <f>COUNTIF(Schedule!$I$4:$I$33,$A90)+COUNTIF(Schedule!$J$4:$J$33,$A90)</f>
        <v/>
      </c>
      <c r="G90">
        <f>COUNTIF(Schedule!$K$4:$K$33,$A90)</f>
        <v/>
      </c>
      <c r="H90">
        <f>COUNTIF(Schedule!$L$4:$L$33,$A90)</f>
        <v/>
      </c>
      <c r="I90">
        <f>COUNTIF(Schedule!$M$4:$M$33,$A90)</f>
        <v/>
      </c>
      <c r="J90">
        <f>SUM(H90:I90)</f>
        <v/>
      </c>
      <c r="K90">
        <f>IF(B90&lt;=INDEX(Personnel!$M:$M,MATCH($A90,Personnel!$A:$A,0)),"OK","ΥΠΕΡΒΑΣΗ")</f>
        <v/>
      </c>
      <c r="L90">
        <f>IF(C90&lt;=INDEX(Personnel!$N:$N,MATCH($A90,Personnel!$A:$A,0)),"OK","ΠΟΛΛΑ ΣΚ")</f>
        <v/>
      </c>
    </row>
    <row r="91">
      <c r="A91" t="inlineStr">
        <is>
          <t>Στρατιώτης 090</t>
        </is>
      </c>
      <c r="B91">
        <f>SUM(D91:G91)</f>
        <v/>
      </c>
      <c r="C91">
        <f>COUNTIFS(Schedule!$A$4:$A$33,"Σάββατο",Schedule!$C$4:$C$33,$A91)+COUNTIFS(Schedule!$A$4:$A$33,"Σάββατο",Schedule!$D$4:$D$33,$A91)+COUNTIFS(Schedule!$A$4:$A$33,"Σάββατο",Schedule!$E$4:$E$33,$A91)+COUNTIFS(Schedule!$A$4:$A$33,"Σάββατο",Schedule!$G$4:$G$33,$A91)+COUNTIFS(Schedule!$A$4:$A$33,"Σάββατο",Schedule!$H$4:$H$33,$A91)+COUNTIFS(Schedule!$A$4:$A$33,"Σάββατο",Schedule!$I$4:$I$33,$A91)+COUNTIFS(Schedule!$A$4:$A$33,"Σάββατο",Schedule!$J$4:$J$33,$A91)+COUNTIFS(Schedule!$A$4:$A$33,"Σάββατο",Schedule!$K$4:$K$33,$A91)+COUNTIFS(Schedule!$A$4:$A$33,"Κυριακή",Schedule!$C$4:$C$33,$A91)+COUNTIFS(Schedule!$A$4:$A$33,"Κυριακή",Schedule!$D$4:$D$33,$A91)+COUNTIFS(Schedule!$A$4:$A$33,"Κυριακή",Schedule!$E$4:$E$33,$A91)+COUNTIFS(Schedule!$A$4:$A$33,"Κυριακή",Schedule!$G$4:$G$33,$A91)+COUNTIFS(Schedule!$A$4:$A$33,"Κυριακή",Schedule!$H$4:$H$33,$A91)+COUNTIFS(Schedule!$A$4:$A$33,"Κυριακή",Schedule!$I$4:$I$33,$A91)+COUNTIFS(Schedule!$A$4:$A$33,"Κυριακή",Schedule!$J$4:$J$33,$A91)+COUNTIFS(Schedule!$A$4:$A$33,"Κυριακή",Schedule!$K$4:$K$33,$A91)</f>
        <v/>
      </c>
      <c r="D91">
        <f>COUNTIF(Schedule!$C$4:$C$33,$A91)+COUNTIF(Schedule!$D$4:$D$33,$A91)+COUNTIF(Schedule!$E$4:$E$33,$A91)</f>
        <v/>
      </c>
      <c r="E91">
        <f>COUNTIF(Schedule!$G$4:$G$33,$A91)+COUNTIF(Schedule!$H$4:$H$33,$A91)</f>
        <v/>
      </c>
      <c r="F91">
        <f>COUNTIF(Schedule!$I$4:$I$33,$A91)+COUNTIF(Schedule!$J$4:$J$33,$A91)</f>
        <v/>
      </c>
      <c r="G91">
        <f>COUNTIF(Schedule!$K$4:$K$33,$A91)</f>
        <v/>
      </c>
      <c r="H91">
        <f>COUNTIF(Schedule!$L$4:$L$33,$A91)</f>
        <v/>
      </c>
      <c r="I91">
        <f>COUNTIF(Schedule!$M$4:$M$33,$A91)</f>
        <v/>
      </c>
      <c r="J91">
        <f>SUM(H91:I91)</f>
        <v/>
      </c>
      <c r="K91">
        <f>IF(B91&lt;=INDEX(Personnel!$M:$M,MATCH($A91,Personnel!$A:$A,0)),"OK","ΥΠΕΡΒΑΣΗ")</f>
        <v/>
      </c>
      <c r="L91">
        <f>IF(C91&lt;=INDEX(Personnel!$N:$N,MATCH($A91,Personnel!$A:$A,0)),"OK","ΠΟΛΛΑ ΣΚ")</f>
        <v/>
      </c>
    </row>
    <row r="92">
      <c r="A92" t="inlineStr">
        <is>
          <t>Στρατιώτης 091</t>
        </is>
      </c>
      <c r="B92">
        <f>SUM(D92:G92)</f>
        <v/>
      </c>
      <c r="C92">
        <f>COUNTIFS(Schedule!$A$4:$A$33,"Σάββατο",Schedule!$C$4:$C$33,$A92)+COUNTIFS(Schedule!$A$4:$A$33,"Σάββατο",Schedule!$D$4:$D$33,$A92)+COUNTIFS(Schedule!$A$4:$A$33,"Σάββατο",Schedule!$E$4:$E$33,$A92)+COUNTIFS(Schedule!$A$4:$A$33,"Σάββατο",Schedule!$G$4:$G$33,$A92)+COUNTIFS(Schedule!$A$4:$A$33,"Σάββατο",Schedule!$H$4:$H$33,$A92)+COUNTIFS(Schedule!$A$4:$A$33,"Σάββατο",Schedule!$I$4:$I$33,$A92)+COUNTIFS(Schedule!$A$4:$A$33,"Σάββατο",Schedule!$J$4:$J$33,$A92)+COUNTIFS(Schedule!$A$4:$A$33,"Σάββατο",Schedule!$K$4:$K$33,$A92)+COUNTIFS(Schedule!$A$4:$A$33,"Κυριακή",Schedule!$C$4:$C$33,$A92)+COUNTIFS(Schedule!$A$4:$A$33,"Κυριακή",Schedule!$D$4:$D$33,$A92)+COUNTIFS(Schedule!$A$4:$A$33,"Κυριακή",Schedule!$E$4:$E$33,$A92)+COUNTIFS(Schedule!$A$4:$A$33,"Κυριακή",Schedule!$G$4:$G$33,$A92)+COUNTIFS(Schedule!$A$4:$A$33,"Κυριακή",Schedule!$H$4:$H$33,$A92)+COUNTIFS(Schedule!$A$4:$A$33,"Κυριακή",Schedule!$I$4:$I$33,$A92)+COUNTIFS(Schedule!$A$4:$A$33,"Κυριακή",Schedule!$J$4:$J$33,$A92)+COUNTIFS(Schedule!$A$4:$A$33,"Κυριακή",Schedule!$K$4:$K$33,$A92)</f>
        <v/>
      </c>
      <c r="D92">
        <f>COUNTIF(Schedule!$C$4:$C$33,$A92)+COUNTIF(Schedule!$D$4:$D$33,$A92)+COUNTIF(Schedule!$E$4:$E$33,$A92)</f>
        <v/>
      </c>
      <c r="E92">
        <f>COUNTIF(Schedule!$G$4:$G$33,$A92)+COUNTIF(Schedule!$H$4:$H$33,$A92)</f>
        <v/>
      </c>
      <c r="F92">
        <f>COUNTIF(Schedule!$I$4:$I$33,$A92)+COUNTIF(Schedule!$J$4:$J$33,$A92)</f>
        <v/>
      </c>
      <c r="G92">
        <f>COUNTIF(Schedule!$K$4:$K$33,$A92)</f>
        <v/>
      </c>
      <c r="H92">
        <f>COUNTIF(Schedule!$L$4:$L$33,$A92)</f>
        <v/>
      </c>
      <c r="I92">
        <f>COUNTIF(Schedule!$M$4:$M$33,$A92)</f>
        <v/>
      </c>
      <c r="J92">
        <f>SUM(H92:I92)</f>
        <v/>
      </c>
      <c r="K92">
        <f>IF(B92&lt;=INDEX(Personnel!$M:$M,MATCH($A92,Personnel!$A:$A,0)),"OK","ΥΠΕΡΒΑΣΗ")</f>
        <v/>
      </c>
      <c r="L92">
        <f>IF(C92&lt;=INDEX(Personnel!$N:$N,MATCH($A92,Personnel!$A:$A,0)),"OK","ΠΟΛΛΑ ΣΚ")</f>
        <v/>
      </c>
    </row>
    <row r="93">
      <c r="A93" t="inlineStr">
        <is>
          <t>Στρατιώτης 092</t>
        </is>
      </c>
      <c r="B93">
        <f>SUM(D93:G93)</f>
        <v/>
      </c>
      <c r="C93">
        <f>COUNTIFS(Schedule!$A$4:$A$33,"Σάββατο",Schedule!$C$4:$C$33,$A93)+COUNTIFS(Schedule!$A$4:$A$33,"Σάββατο",Schedule!$D$4:$D$33,$A93)+COUNTIFS(Schedule!$A$4:$A$33,"Σάββατο",Schedule!$E$4:$E$33,$A93)+COUNTIFS(Schedule!$A$4:$A$33,"Σάββατο",Schedule!$G$4:$G$33,$A93)+COUNTIFS(Schedule!$A$4:$A$33,"Σάββατο",Schedule!$H$4:$H$33,$A93)+COUNTIFS(Schedule!$A$4:$A$33,"Σάββατο",Schedule!$I$4:$I$33,$A93)+COUNTIFS(Schedule!$A$4:$A$33,"Σάββατο",Schedule!$J$4:$J$33,$A93)+COUNTIFS(Schedule!$A$4:$A$33,"Σάββατο",Schedule!$K$4:$K$33,$A93)+COUNTIFS(Schedule!$A$4:$A$33,"Κυριακή",Schedule!$C$4:$C$33,$A93)+COUNTIFS(Schedule!$A$4:$A$33,"Κυριακή",Schedule!$D$4:$D$33,$A93)+COUNTIFS(Schedule!$A$4:$A$33,"Κυριακή",Schedule!$E$4:$E$33,$A93)+COUNTIFS(Schedule!$A$4:$A$33,"Κυριακή",Schedule!$G$4:$G$33,$A93)+COUNTIFS(Schedule!$A$4:$A$33,"Κυριακή",Schedule!$H$4:$H$33,$A93)+COUNTIFS(Schedule!$A$4:$A$33,"Κυριακή",Schedule!$I$4:$I$33,$A93)+COUNTIFS(Schedule!$A$4:$A$33,"Κυριακή",Schedule!$J$4:$J$33,$A93)+COUNTIFS(Schedule!$A$4:$A$33,"Κυριακή",Schedule!$K$4:$K$33,$A93)</f>
        <v/>
      </c>
      <c r="D93">
        <f>COUNTIF(Schedule!$C$4:$C$33,$A93)+COUNTIF(Schedule!$D$4:$D$33,$A93)+COUNTIF(Schedule!$E$4:$E$33,$A93)</f>
        <v/>
      </c>
      <c r="E93">
        <f>COUNTIF(Schedule!$G$4:$G$33,$A93)+COUNTIF(Schedule!$H$4:$H$33,$A93)</f>
        <v/>
      </c>
      <c r="F93">
        <f>COUNTIF(Schedule!$I$4:$I$33,$A93)+COUNTIF(Schedule!$J$4:$J$33,$A93)</f>
        <v/>
      </c>
      <c r="G93">
        <f>COUNTIF(Schedule!$K$4:$K$33,$A93)</f>
        <v/>
      </c>
      <c r="H93">
        <f>COUNTIF(Schedule!$L$4:$L$33,$A93)</f>
        <v/>
      </c>
      <c r="I93">
        <f>COUNTIF(Schedule!$M$4:$M$33,$A93)</f>
        <v/>
      </c>
      <c r="J93">
        <f>SUM(H93:I93)</f>
        <v/>
      </c>
      <c r="K93">
        <f>IF(B93&lt;=INDEX(Personnel!$M:$M,MATCH($A93,Personnel!$A:$A,0)),"OK","ΥΠΕΡΒΑΣΗ")</f>
        <v/>
      </c>
      <c r="L93">
        <f>IF(C93&lt;=INDEX(Personnel!$N:$N,MATCH($A93,Personnel!$A:$A,0)),"OK","ΠΟΛΛΑ ΣΚ")</f>
        <v/>
      </c>
    </row>
    <row r="94">
      <c r="A94" t="inlineStr">
        <is>
          <t>Στρατιώτης 093</t>
        </is>
      </c>
      <c r="B94">
        <f>SUM(D94:G94)</f>
        <v/>
      </c>
      <c r="C94">
        <f>COUNTIFS(Schedule!$A$4:$A$33,"Σάββατο",Schedule!$C$4:$C$33,$A94)+COUNTIFS(Schedule!$A$4:$A$33,"Σάββατο",Schedule!$D$4:$D$33,$A94)+COUNTIFS(Schedule!$A$4:$A$33,"Σάββατο",Schedule!$E$4:$E$33,$A94)+COUNTIFS(Schedule!$A$4:$A$33,"Σάββατο",Schedule!$G$4:$G$33,$A94)+COUNTIFS(Schedule!$A$4:$A$33,"Σάββατο",Schedule!$H$4:$H$33,$A94)+COUNTIFS(Schedule!$A$4:$A$33,"Σάββατο",Schedule!$I$4:$I$33,$A94)+COUNTIFS(Schedule!$A$4:$A$33,"Σάββατο",Schedule!$J$4:$J$33,$A94)+COUNTIFS(Schedule!$A$4:$A$33,"Σάββατο",Schedule!$K$4:$K$33,$A94)+COUNTIFS(Schedule!$A$4:$A$33,"Κυριακή",Schedule!$C$4:$C$33,$A94)+COUNTIFS(Schedule!$A$4:$A$33,"Κυριακή",Schedule!$D$4:$D$33,$A94)+COUNTIFS(Schedule!$A$4:$A$33,"Κυριακή",Schedule!$E$4:$E$33,$A94)+COUNTIFS(Schedule!$A$4:$A$33,"Κυριακή",Schedule!$G$4:$G$33,$A94)+COUNTIFS(Schedule!$A$4:$A$33,"Κυριακή",Schedule!$H$4:$H$33,$A94)+COUNTIFS(Schedule!$A$4:$A$33,"Κυριακή",Schedule!$I$4:$I$33,$A94)+COUNTIFS(Schedule!$A$4:$A$33,"Κυριακή",Schedule!$J$4:$J$33,$A94)+COUNTIFS(Schedule!$A$4:$A$33,"Κυριακή",Schedule!$K$4:$K$33,$A94)</f>
        <v/>
      </c>
      <c r="D94">
        <f>COUNTIF(Schedule!$C$4:$C$33,$A94)+COUNTIF(Schedule!$D$4:$D$33,$A94)+COUNTIF(Schedule!$E$4:$E$33,$A94)</f>
        <v/>
      </c>
      <c r="E94">
        <f>COUNTIF(Schedule!$G$4:$G$33,$A94)+COUNTIF(Schedule!$H$4:$H$33,$A94)</f>
        <v/>
      </c>
      <c r="F94">
        <f>COUNTIF(Schedule!$I$4:$I$33,$A94)+COUNTIF(Schedule!$J$4:$J$33,$A94)</f>
        <v/>
      </c>
      <c r="G94">
        <f>COUNTIF(Schedule!$K$4:$K$33,$A94)</f>
        <v/>
      </c>
      <c r="H94">
        <f>COUNTIF(Schedule!$L$4:$L$33,$A94)</f>
        <v/>
      </c>
      <c r="I94">
        <f>COUNTIF(Schedule!$M$4:$M$33,$A94)</f>
        <v/>
      </c>
      <c r="J94">
        <f>SUM(H94:I94)</f>
        <v/>
      </c>
      <c r="K94">
        <f>IF(B94&lt;=INDEX(Personnel!$M:$M,MATCH($A94,Personnel!$A:$A,0)),"OK","ΥΠΕΡΒΑΣΗ")</f>
        <v/>
      </c>
      <c r="L94">
        <f>IF(C94&lt;=INDEX(Personnel!$N:$N,MATCH($A94,Personnel!$A:$A,0)),"OK","ΠΟΛΛΑ ΣΚ")</f>
        <v/>
      </c>
    </row>
    <row r="95">
      <c r="A95" t="inlineStr">
        <is>
          <t>Στρατιώτης 094</t>
        </is>
      </c>
      <c r="B95">
        <f>SUM(D95:G95)</f>
        <v/>
      </c>
      <c r="C95">
        <f>COUNTIFS(Schedule!$A$4:$A$33,"Σάββατο",Schedule!$C$4:$C$33,$A95)+COUNTIFS(Schedule!$A$4:$A$33,"Σάββατο",Schedule!$D$4:$D$33,$A95)+COUNTIFS(Schedule!$A$4:$A$33,"Σάββατο",Schedule!$E$4:$E$33,$A95)+COUNTIFS(Schedule!$A$4:$A$33,"Σάββατο",Schedule!$G$4:$G$33,$A95)+COUNTIFS(Schedule!$A$4:$A$33,"Σάββατο",Schedule!$H$4:$H$33,$A95)+COUNTIFS(Schedule!$A$4:$A$33,"Σάββατο",Schedule!$I$4:$I$33,$A95)+COUNTIFS(Schedule!$A$4:$A$33,"Σάββατο",Schedule!$J$4:$J$33,$A95)+COUNTIFS(Schedule!$A$4:$A$33,"Σάββατο",Schedule!$K$4:$K$33,$A95)+COUNTIFS(Schedule!$A$4:$A$33,"Κυριακή",Schedule!$C$4:$C$33,$A95)+COUNTIFS(Schedule!$A$4:$A$33,"Κυριακή",Schedule!$D$4:$D$33,$A95)+COUNTIFS(Schedule!$A$4:$A$33,"Κυριακή",Schedule!$E$4:$E$33,$A95)+COUNTIFS(Schedule!$A$4:$A$33,"Κυριακή",Schedule!$G$4:$G$33,$A95)+COUNTIFS(Schedule!$A$4:$A$33,"Κυριακή",Schedule!$H$4:$H$33,$A95)+COUNTIFS(Schedule!$A$4:$A$33,"Κυριακή",Schedule!$I$4:$I$33,$A95)+COUNTIFS(Schedule!$A$4:$A$33,"Κυριακή",Schedule!$J$4:$J$33,$A95)+COUNTIFS(Schedule!$A$4:$A$33,"Κυριακή",Schedule!$K$4:$K$33,$A95)</f>
        <v/>
      </c>
      <c r="D95">
        <f>COUNTIF(Schedule!$C$4:$C$33,$A95)+COUNTIF(Schedule!$D$4:$D$33,$A95)+COUNTIF(Schedule!$E$4:$E$33,$A95)</f>
        <v/>
      </c>
      <c r="E95">
        <f>COUNTIF(Schedule!$G$4:$G$33,$A95)+COUNTIF(Schedule!$H$4:$H$33,$A95)</f>
        <v/>
      </c>
      <c r="F95">
        <f>COUNTIF(Schedule!$I$4:$I$33,$A95)+COUNTIF(Schedule!$J$4:$J$33,$A95)</f>
        <v/>
      </c>
      <c r="G95">
        <f>COUNTIF(Schedule!$K$4:$K$33,$A95)</f>
        <v/>
      </c>
      <c r="H95">
        <f>COUNTIF(Schedule!$L$4:$L$33,$A95)</f>
        <v/>
      </c>
      <c r="I95">
        <f>COUNTIF(Schedule!$M$4:$M$33,$A95)</f>
        <v/>
      </c>
      <c r="J95">
        <f>SUM(H95:I95)</f>
        <v/>
      </c>
      <c r="K95">
        <f>IF(B95&lt;=INDEX(Personnel!$M:$M,MATCH($A95,Personnel!$A:$A,0)),"OK","ΥΠΕΡΒΑΣΗ")</f>
        <v/>
      </c>
      <c r="L95">
        <f>IF(C95&lt;=INDEX(Personnel!$N:$N,MATCH($A95,Personnel!$A:$A,0)),"OK","ΠΟΛΛΑ ΣΚ")</f>
        <v/>
      </c>
    </row>
    <row r="96">
      <c r="A96" t="inlineStr">
        <is>
          <t>Στρατιώτης 095</t>
        </is>
      </c>
      <c r="B96">
        <f>SUM(D96:G96)</f>
        <v/>
      </c>
      <c r="C96">
        <f>COUNTIFS(Schedule!$A$4:$A$33,"Σάββατο",Schedule!$C$4:$C$33,$A96)+COUNTIFS(Schedule!$A$4:$A$33,"Σάββατο",Schedule!$D$4:$D$33,$A96)+COUNTIFS(Schedule!$A$4:$A$33,"Σάββατο",Schedule!$E$4:$E$33,$A96)+COUNTIFS(Schedule!$A$4:$A$33,"Σάββατο",Schedule!$G$4:$G$33,$A96)+COUNTIFS(Schedule!$A$4:$A$33,"Σάββατο",Schedule!$H$4:$H$33,$A96)+COUNTIFS(Schedule!$A$4:$A$33,"Σάββατο",Schedule!$I$4:$I$33,$A96)+COUNTIFS(Schedule!$A$4:$A$33,"Σάββατο",Schedule!$J$4:$J$33,$A96)+COUNTIFS(Schedule!$A$4:$A$33,"Σάββατο",Schedule!$K$4:$K$33,$A96)+COUNTIFS(Schedule!$A$4:$A$33,"Κυριακή",Schedule!$C$4:$C$33,$A96)+COUNTIFS(Schedule!$A$4:$A$33,"Κυριακή",Schedule!$D$4:$D$33,$A96)+COUNTIFS(Schedule!$A$4:$A$33,"Κυριακή",Schedule!$E$4:$E$33,$A96)+COUNTIFS(Schedule!$A$4:$A$33,"Κυριακή",Schedule!$G$4:$G$33,$A96)+COUNTIFS(Schedule!$A$4:$A$33,"Κυριακή",Schedule!$H$4:$H$33,$A96)+COUNTIFS(Schedule!$A$4:$A$33,"Κυριακή",Schedule!$I$4:$I$33,$A96)+COUNTIFS(Schedule!$A$4:$A$33,"Κυριακή",Schedule!$J$4:$J$33,$A96)+COUNTIFS(Schedule!$A$4:$A$33,"Κυριακή",Schedule!$K$4:$K$33,$A96)</f>
        <v/>
      </c>
      <c r="D96">
        <f>COUNTIF(Schedule!$C$4:$C$33,$A96)+COUNTIF(Schedule!$D$4:$D$33,$A96)+COUNTIF(Schedule!$E$4:$E$33,$A96)</f>
        <v/>
      </c>
      <c r="E96">
        <f>COUNTIF(Schedule!$G$4:$G$33,$A96)+COUNTIF(Schedule!$H$4:$H$33,$A96)</f>
        <v/>
      </c>
      <c r="F96">
        <f>COUNTIF(Schedule!$I$4:$I$33,$A96)+COUNTIF(Schedule!$J$4:$J$33,$A96)</f>
        <v/>
      </c>
      <c r="G96">
        <f>COUNTIF(Schedule!$K$4:$K$33,$A96)</f>
        <v/>
      </c>
      <c r="H96">
        <f>COUNTIF(Schedule!$L$4:$L$33,$A96)</f>
        <v/>
      </c>
      <c r="I96">
        <f>COUNTIF(Schedule!$M$4:$M$33,$A96)</f>
        <v/>
      </c>
      <c r="J96">
        <f>SUM(H96:I96)</f>
        <v/>
      </c>
      <c r="K96">
        <f>IF(B96&lt;=INDEX(Personnel!$M:$M,MATCH($A96,Personnel!$A:$A,0)),"OK","ΥΠΕΡΒΑΣΗ")</f>
        <v/>
      </c>
      <c r="L96">
        <f>IF(C96&lt;=INDEX(Personnel!$N:$N,MATCH($A96,Personnel!$A:$A,0)),"OK","ΠΟΛΛΑ ΣΚ")</f>
        <v/>
      </c>
    </row>
    <row r="97">
      <c r="A97" t="inlineStr">
        <is>
          <t>Στρατιώτης 096</t>
        </is>
      </c>
      <c r="B97">
        <f>SUM(D97:G97)</f>
        <v/>
      </c>
      <c r="C97">
        <f>COUNTIFS(Schedule!$A$4:$A$33,"Σάββατο",Schedule!$C$4:$C$33,$A97)+COUNTIFS(Schedule!$A$4:$A$33,"Σάββατο",Schedule!$D$4:$D$33,$A97)+COUNTIFS(Schedule!$A$4:$A$33,"Σάββατο",Schedule!$E$4:$E$33,$A97)+COUNTIFS(Schedule!$A$4:$A$33,"Σάββατο",Schedule!$G$4:$G$33,$A97)+COUNTIFS(Schedule!$A$4:$A$33,"Σάββατο",Schedule!$H$4:$H$33,$A97)+COUNTIFS(Schedule!$A$4:$A$33,"Σάββατο",Schedule!$I$4:$I$33,$A97)+COUNTIFS(Schedule!$A$4:$A$33,"Σάββατο",Schedule!$J$4:$J$33,$A97)+COUNTIFS(Schedule!$A$4:$A$33,"Σάββατο",Schedule!$K$4:$K$33,$A97)+COUNTIFS(Schedule!$A$4:$A$33,"Κυριακή",Schedule!$C$4:$C$33,$A97)+COUNTIFS(Schedule!$A$4:$A$33,"Κυριακή",Schedule!$D$4:$D$33,$A97)+COUNTIFS(Schedule!$A$4:$A$33,"Κυριακή",Schedule!$E$4:$E$33,$A97)+COUNTIFS(Schedule!$A$4:$A$33,"Κυριακή",Schedule!$G$4:$G$33,$A97)+COUNTIFS(Schedule!$A$4:$A$33,"Κυριακή",Schedule!$H$4:$H$33,$A97)+COUNTIFS(Schedule!$A$4:$A$33,"Κυριακή",Schedule!$I$4:$I$33,$A97)+COUNTIFS(Schedule!$A$4:$A$33,"Κυριακή",Schedule!$J$4:$J$33,$A97)+COUNTIFS(Schedule!$A$4:$A$33,"Κυριακή",Schedule!$K$4:$K$33,$A97)</f>
        <v/>
      </c>
      <c r="D97">
        <f>COUNTIF(Schedule!$C$4:$C$33,$A97)+COUNTIF(Schedule!$D$4:$D$33,$A97)+COUNTIF(Schedule!$E$4:$E$33,$A97)</f>
        <v/>
      </c>
      <c r="E97">
        <f>COUNTIF(Schedule!$G$4:$G$33,$A97)+COUNTIF(Schedule!$H$4:$H$33,$A97)</f>
        <v/>
      </c>
      <c r="F97">
        <f>COUNTIF(Schedule!$I$4:$I$33,$A97)+COUNTIF(Schedule!$J$4:$J$33,$A97)</f>
        <v/>
      </c>
      <c r="G97">
        <f>COUNTIF(Schedule!$K$4:$K$33,$A97)</f>
        <v/>
      </c>
      <c r="H97">
        <f>COUNTIF(Schedule!$L$4:$L$33,$A97)</f>
        <v/>
      </c>
      <c r="I97">
        <f>COUNTIF(Schedule!$M$4:$M$33,$A97)</f>
        <v/>
      </c>
      <c r="J97">
        <f>SUM(H97:I97)</f>
        <v/>
      </c>
      <c r="K97">
        <f>IF(B97&lt;=INDEX(Personnel!$M:$M,MATCH($A97,Personnel!$A:$A,0)),"OK","ΥΠΕΡΒΑΣΗ")</f>
        <v/>
      </c>
      <c r="L97">
        <f>IF(C97&lt;=INDEX(Personnel!$N:$N,MATCH($A97,Personnel!$A:$A,0)),"OK","ΠΟΛΛΑ ΣΚ")</f>
        <v/>
      </c>
    </row>
    <row r="98">
      <c r="A98" t="inlineStr">
        <is>
          <t>Στρατιώτης 097</t>
        </is>
      </c>
      <c r="B98">
        <f>SUM(D98:G98)</f>
        <v/>
      </c>
      <c r="C98">
        <f>COUNTIFS(Schedule!$A$4:$A$33,"Σάββατο",Schedule!$C$4:$C$33,$A98)+COUNTIFS(Schedule!$A$4:$A$33,"Σάββατο",Schedule!$D$4:$D$33,$A98)+COUNTIFS(Schedule!$A$4:$A$33,"Σάββατο",Schedule!$E$4:$E$33,$A98)+COUNTIFS(Schedule!$A$4:$A$33,"Σάββατο",Schedule!$G$4:$G$33,$A98)+COUNTIFS(Schedule!$A$4:$A$33,"Σάββατο",Schedule!$H$4:$H$33,$A98)+COUNTIFS(Schedule!$A$4:$A$33,"Σάββατο",Schedule!$I$4:$I$33,$A98)+COUNTIFS(Schedule!$A$4:$A$33,"Σάββατο",Schedule!$J$4:$J$33,$A98)+COUNTIFS(Schedule!$A$4:$A$33,"Σάββατο",Schedule!$K$4:$K$33,$A98)+COUNTIFS(Schedule!$A$4:$A$33,"Κυριακή",Schedule!$C$4:$C$33,$A98)+COUNTIFS(Schedule!$A$4:$A$33,"Κυριακή",Schedule!$D$4:$D$33,$A98)+COUNTIFS(Schedule!$A$4:$A$33,"Κυριακή",Schedule!$E$4:$E$33,$A98)+COUNTIFS(Schedule!$A$4:$A$33,"Κυριακή",Schedule!$G$4:$G$33,$A98)+COUNTIFS(Schedule!$A$4:$A$33,"Κυριακή",Schedule!$H$4:$H$33,$A98)+COUNTIFS(Schedule!$A$4:$A$33,"Κυριακή",Schedule!$I$4:$I$33,$A98)+COUNTIFS(Schedule!$A$4:$A$33,"Κυριακή",Schedule!$J$4:$J$33,$A98)+COUNTIFS(Schedule!$A$4:$A$33,"Κυριακή",Schedule!$K$4:$K$33,$A98)</f>
        <v/>
      </c>
      <c r="D98">
        <f>COUNTIF(Schedule!$C$4:$C$33,$A98)+COUNTIF(Schedule!$D$4:$D$33,$A98)+COUNTIF(Schedule!$E$4:$E$33,$A98)</f>
        <v/>
      </c>
      <c r="E98">
        <f>COUNTIF(Schedule!$G$4:$G$33,$A98)+COUNTIF(Schedule!$H$4:$H$33,$A98)</f>
        <v/>
      </c>
      <c r="F98">
        <f>COUNTIF(Schedule!$I$4:$I$33,$A98)+COUNTIF(Schedule!$J$4:$J$33,$A98)</f>
        <v/>
      </c>
      <c r="G98">
        <f>COUNTIF(Schedule!$K$4:$K$33,$A98)</f>
        <v/>
      </c>
      <c r="H98">
        <f>COUNTIF(Schedule!$L$4:$L$33,$A98)</f>
        <v/>
      </c>
      <c r="I98">
        <f>COUNTIF(Schedule!$M$4:$M$33,$A98)</f>
        <v/>
      </c>
      <c r="J98">
        <f>SUM(H98:I98)</f>
        <v/>
      </c>
      <c r="K98">
        <f>IF(B98&lt;=INDEX(Personnel!$M:$M,MATCH($A98,Personnel!$A:$A,0)),"OK","ΥΠΕΡΒΑΣΗ")</f>
        <v/>
      </c>
      <c r="L98">
        <f>IF(C98&lt;=INDEX(Personnel!$N:$N,MATCH($A98,Personnel!$A:$A,0)),"OK","ΠΟΛΛΑ ΣΚ")</f>
        <v/>
      </c>
    </row>
    <row r="99">
      <c r="A99" t="inlineStr">
        <is>
          <t>Στρατιώτης 098</t>
        </is>
      </c>
      <c r="B99">
        <f>SUM(D99:G99)</f>
        <v/>
      </c>
      <c r="C99">
        <f>COUNTIFS(Schedule!$A$4:$A$33,"Σάββατο",Schedule!$C$4:$C$33,$A99)+COUNTIFS(Schedule!$A$4:$A$33,"Σάββατο",Schedule!$D$4:$D$33,$A99)+COUNTIFS(Schedule!$A$4:$A$33,"Σάββατο",Schedule!$E$4:$E$33,$A99)+COUNTIFS(Schedule!$A$4:$A$33,"Σάββατο",Schedule!$G$4:$G$33,$A99)+COUNTIFS(Schedule!$A$4:$A$33,"Σάββατο",Schedule!$H$4:$H$33,$A99)+COUNTIFS(Schedule!$A$4:$A$33,"Σάββατο",Schedule!$I$4:$I$33,$A99)+COUNTIFS(Schedule!$A$4:$A$33,"Σάββατο",Schedule!$J$4:$J$33,$A99)+COUNTIFS(Schedule!$A$4:$A$33,"Σάββατο",Schedule!$K$4:$K$33,$A99)+COUNTIFS(Schedule!$A$4:$A$33,"Κυριακή",Schedule!$C$4:$C$33,$A99)+COUNTIFS(Schedule!$A$4:$A$33,"Κυριακή",Schedule!$D$4:$D$33,$A99)+COUNTIFS(Schedule!$A$4:$A$33,"Κυριακή",Schedule!$E$4:$E$33,$A99)+COUNTIFS(Schedule!$A$4:$A$33,"Κυριακή",Schedule!$G$4:$G$33,$A99)+COUNTIFS(Schedule!$A$4:$A$33,"Κυριακή",Schedule!$H$4:$H$33,$A99)+COUNTIFS(Schedule!$A$4:$A$33,"Κυριακή",Schedule!$I$4:$I$33,$A99)+COUNTIFS(Schedule!$A$4:$A$33,"Κυριακή",Schedule!$J$4:$J$33,$A99)+COUNTIFS(Schedule!$A$4:$A$33,"Κυριακή",Schedule!$K$4:$K$33,$A99)</f>
        <v/>
      </c>
      <c r="D99">
        <f>COUNTIF(Schedule!$C$4:$C$33,$A99)+COUNTIF(Schedule!$D$4:$D$33,$A99)+COUNTIF(Schedule!$E$4:$E$33,$A99)</f>
        <v/>
      </c>
      <c r="E99">
        <f>COUNTIF(Schedule!$G$4:$G$33,$A99)+COUNTIF(Schedule!$H$4:$H$33,$A99)</f>
        <v/>
      </c>
      <c r="F99">
        <f>COUNTIF(Schedule!$I$4:$I$33,$A99)+COUNTIF(Schedule!$J$4:$J$33,$A99)</f>
        <v/>
      </c>
      <c r="G99">
        <f>COUNTIF(Schedule!$K$4:$K$33,$A99)</f>
        <v/>
      </c>
      <c r="H99">
        <f>COUNTIF(Schedule!$L$4:$L$33,$A99)</f>
        <v/>
      </c>
      <c r="I99">
        <f>COUNTIF(Schedule!$M$4:$M$33,$A99)</f>
        <v/>
      </c>
      <c r="J99">
        <f>SUM(H99:I99)</f>
        <v/>
      </c>
      <c r="K99">
        <f>IF(B99&lt;=INDEX(Personnel!$M:$M,MATCH($A99,Personnel!$A:$A,0)),"OK","ΥΠΕΡΒΑΣΗ")</f>
        <v/>
      </c>
      <c r="L99">
        <f>IF(C99&lt;=INDEX(Personnel!$N:$N,MATCH($A99,Personnel!$A:$A,0)),"OK","ΠΟΛΛΑ ΣΚ")</f>
        <v/>
      </c>
    </row>
    <row r="100">
      <c r="A100" t="inlineStr">
        <is>
          <t>Στρατιώτης 099</t>
        </is>
      </c>
      <c r="B100">
        <f>SUM(D100:G100)</f>
        <v/>
      </c>
      <c r="C100">
        <f>COUNTIFS(Schedule!$A$4:$A$33,"Σάββατο",Schedule!$C$4:$C$33,$A100)+COUNTIFS(Schedule!$A$4:$A$33,"Σάββατο",Schedule!$D$4:$D$33,$A100)+COUNTIFS(Schedule!$A$4:$A$33,"Σάββατο",Schedule!$E$4:$E$33,$A100)+COUNTIFS(Schedule!$A$4:$A$33,"Σάββατο",Schedule!$G$4:$G$33,$A100)+COUNTIFS(Schedule!$A$4:$A$33,"Σάββατο",Schedule!$H$4:$H$33,$A100)+COUNTIFS(Schedule!$A$4:$A$33,"Σάββατο",Schedule!$I$4:$I$33,$A100)+COUNTIFS(Schedule!$A$4:$A$33,"Σάββατο",Schedule!$J$4:$J$33,$A100)+COUNTIFS(Schedule!$A$4:$A$33,"Σάββατο",Schedule!$K$4:$K$33,$A100)+COUNTIFS(Schedule!$A$4:$A$33,"Κυριακή",Schedule!$C$4:$C$33,$A100)+COUNTIFS(Schedule!$A$4:$A$33,"Κυριακή",Schedule!$D$4:$D$33,$A100)+COUNTIFS(Schedule!$A$4:$A$33,"Κυριακή",Schedule!$E$4:$E$33,$A100)+COUNTIFS(Schedule!$A$4:$A$33,"Κυριακή",Schedule!$G$4:$G$33,$A100)+COUNTIFS(Schedule!$A$4:$A$33,"Κυριακή",Schedule!$H$4:$H$33,$A100)+COUNTIFS(Schedule!$A$4:$A$33,"Κυριακή",Schedule!$I$4:$I$33,$A100)+COUNTIFS(Schedule!$A$4:$A$33,"Κυριακή",Schedule!$J$4:$J$33,$A100)+COUNTIFS(Schedule!$A$4:$A$33,"Κυριακή",Schedule!$K$4:$K$33,$A100)</f>
        <v/>
      </c>
      <c r="D100">
        <f>COUNTIF(Schedule!$C$4:$C$33,$A100)+COUNTIF(Schedule!$D$4:$D$33,$A100)+COUNTIF(Schedule!$E$4:$E$33,$A100)</f>
        <v/>
      </c>
      <c r="E100">
        <f>COUNTIF(Schedule!$G$4:$G$33,$A100)+COUNTIF(Schedule!$H$4:$H$33,$A100)</f>
        <v/>
      </c>
      <c r="F100">
        <f>COUNTIF(Schedule!$I$4:$I$33,$A100)+COUNTIF(Schedule!$J$4:$J$33,$A100)</f>
        <v/>
      </c>
      <c r="G100">
        <f>COUNTIF(Schedule!$K$4:$K$33,$A100)</f>
        <v/>
      </c>
      <c r="H100">
        <f>COUNTIF(Schedule!$L$4:$L$33,$A100)</f>
        <v/>
      </c>
      <c r="I100">
        <f>COUNTIF(Schedule!$M$4:$M$33,$A100)</f>
        <v/>
      </c>
      <c r="J100">
        <f>SUM(H100:I100)</f>
        <v/>
      </c>
      <c r="K100">
        <f>IF(B100&lt;=INDEX(Personnel!$M:$M,MATCH($A100,Personnel!$A:$A,0)),"OK","ΥΠΕΡΒΑΣΗ")</f>
        <v/>
      </c>
      <c r="L100">
        <f>IF(C100&lt;=INDEX(Personnel!$N:$N,MATCH($A100,Personnel!$A:$A,0)),"OK","ΠΟΛΛΑ ΣΚ")</f>
        <v/>
      </c>
    </row>
    <row r="101">
      <c r="A101" t="inlineStr">
        <is>
          <t>Στρατιώτης 100</t>
        </is>
      </c>
      <c r="B101">
        <f>SUM(D101:G101)</f>
        <v/>
      </c>
      <c r="C101">
        <f>COUNTIFS(Schedule!$A$4:$A$33,"Σάββατο",Schedule!$C$4:$C$33,$A101)+COUNTIFS(Schedule!$A$4:$A$33,"Σάββατο",Schedule!$D$4:$D$33,$A101)+COUNTIFS(Schedule!$A$4:$A$33,"Σάββατο",Schedule!$E$4:$E$33,$A101)+COUNTIFS(Schedule!$A$4:$A$33,"Σάββατο",Schedule!$G$4:$G$33,$A101)+COUNTIFS(Schedule!$A$4:$A$33,"Σάββατο",Schedule!$H$4:$H$33,$A101)+COUNTIFS(Schedule!$A$4:$A$33,"Σάββατο",Schedule!$I$4:$I$33,$A101)+COUNTIFS(Schedule!$A$4:$A$33,"Σάββατο",Schedule!$J$4:$J$33,$A101)+COUNTIFS(Schedule!$A$4:$A$33,"Σάββατο",Schedule!$K$4:$K$33,$A101)+COUNTIFS(Schedule!$A$4:$A$33,"Κυριακή",Schedule!$C$4:$C$33,$A101)+COUNTIFS(Schedule!$A$4:$A$33,"Κυριακή",Schedule!$D$4:$D$33,$A101)+COUNTIFS(Schedule!$A$4:$A$33,"Κυριακή",Schedule!$E$4:$E$33,$A101)+COUNTIFS(Schedule!$A$4:$A$33,"Κυριακή",Schedule!$G$4:$G$33,$A101)+COUNTIFS(Schedule!$A$4:$A$33,"Κυριακή",Schedule!$H$4:$H$33,$A101)+COUNTIFS(Schedule!$A$4:$A$33,"Κυριακή",Schedule!$I$4:$I$33,$A101)+COUNTIFS(Schedule!$A$4:$A$33,"Κυριακή",Schedule!$J$4:$J$33,$A101)+COUNTIFS(Schedule!$A$4:$A$33,"Κυριακή",Schedule!$K$4:$K$33,$A101)</f>
        <v/>
      </c>
      <c r="D101">
        <f>COUNTIF(Schedule!$C$4:$C$33,$A101)+COUNTIF(Schedule!$D$4:$D$33,$A101)+COUNTIF(Schedule!$E$4:$E$33,$A101)</f>
        <v/>
      </c>
      <c r="E101">
        <f>COUNTIF(Schedule!$G$4:$G$33,$A101)+COUNTIF(Schedule!$H$4:$H$33,$A101)</f>
        <v/>
      </c>
      <c r="F101">
        <f>COUNTIF(Schedule!$I$4:$I$33,$A101)+COUNTIF(Schedule!$J$4:$J$33,$A101)</f>
        <v/>
      </c>
      <c r="G101">
        <f>COUNTIF(Schedule!$K$4:$K$33,$A101)</f>
        <v/>
      </c>
      <c r="H101">
        <f>COUNTIF(Schedule!$L$4:$L$33,$A101)</f>
        <v/>
      </c>
      <c r="I101">
        <f>COUNTIF(Schedule!$M$4:$M$33,$A101)</f>
        <v/>
      </c>
      <c r="J101">
        <f>SUM(H101:I101)</f>
        <v/>
      </c>
      <c r="K101">
        <f>IF(B101&lt;=INDEX(Personnel!$M:$M,MATCH($A101,Personnel!$A:$A,0)),"OK","ΥΠΕΡΒΑΣΗ")</f>
        <v/>
      </c>
      <c r="L101">
        <f>IF(C101&lt;=INDEX(Personnel!$N:$N,MATCH($A101,Personnel!$A:$A,0)),"OK","ΠΟΛΛΑ ΣΚ")</f>
        <v/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2">
    <outlinePr summaryBelow="1" summaryRight="1"/>
    <pageSetUpPr/>
  </sheetPr>
  <dimension ref="A1:U112"/>
  <sheetViews>
    <sheetView zoomScale="79" workbookViewId="0">
      <pane ySplit="1" topLeftCell="A91" activePane="bottomLeft" state="frozen"/>
      <selection pane="bottomLeft" activeCell="A88" sqref="A88"/>
    </sheetView>
  </sheetViews>
  <sheetFormatPr baseColWidth="8" defaultRowHeight="14.5"/>
  <cols>
    <col width="42.26953125" customWidth="1" min="1" max="1"/>
    <col width="24" customWidth="1" min="2" max="2"/>
    <col width="9" customWidth="1" min="3" max="5"/>
    <col width="9.08984375" customWidth="1" min="6" max="6"/>
    <col width="13.26953125" customWidth="1" min="7" max="7"/>
    <col width="14.36328125" customWidth="1" min="8" max="8"/>
    <col width="12.90625" customWidth="1" min="9" max="9"/>
    <col width="21.36328125" customWidth="1" min="10" max="10"/>
    <col width="13.1796875" customWidth="1" min="11" max="11"/>
    <col width="10.08984375" customWidth="1" min="12" max="12"/>
    <col width="13.08984375" customWidth="1" min="13" max="13"/>
    <col width="9.6328125" customWidth="1" min="14" max="14"/>
    <col width="16.08984375" customWidth="1" min="15" max="15"/>
    <col width="30" customWidth="1" min="16" max="16"/>
    <col width="40.1796875" bestFit="1" customWidth="1" min="17" max="17"/>
    <col width="16.26953125" bestFit="1" customWidth="1" min="18" max="18"/>
    <col width="15.54296875" bestFit="1" customWidth="1" min="19" max="19"/>
    <col width="14.36328125" bestFit="1" customWidth="1" min="20" max="20"/>
    <col width="18" bestFit="1" customWidth="1" min="21" max="21"/>
  </cols>
  <sheetData>
    <row r="1">
      <c r="A1" s="24" t="inlineStr">
        <is>
          <t>ΟΝΟΜΑ</t>
        </is>
      </c>
      <c r="B1" s="3" t="inlineStr">
        <is>
          <t>ΠΟΣΤΟ</t>
        </is>
      </c>
      <c r="C1" s="3" t="inlineStr">
        <is>
          <t>ΜΛΣΝ</t>
        </is>
      </c>
      <c r="D1" s="3" t="inlineStr">
        <is>
          <t>ΕΤΑΦ</t>
        </is>
      </c>
      <c r="E1" s="3" t="inlineStr">
        <is>
          <t>ΕΣΤ</t>
        </is>
      </c>
      <c r="F1" s="3" t="inlineStr">
        <is>
          <t>ΒΑΥΔΜ</t>
        </is>
      </c>
      <c r="G1" s="3" t="inlineStr">
        <is>
          <t>ΕΠΙΦ_ΜΛΣΝ</t>
        </is>
      </c>
      <c r="H1" s="3" t="inlineStr">
        <is>
          <t>ΕΠΙΦ_ΒΑΥΔΜ</t>
        </is>
      </c>
      <c r="I1" s="3" t="inlineStr">
        <is>
          <t>ΚΑΝΟΝΙΚΟΣ</t>
        </is>
      </c>
      <c r="J1" s="3" t="inlineStr">
        <is>
          <t>ΜΟΝΟ_1_ΤΟΝ_ΜΗΝΑ</t>
        </is>
      </c>
      <c r="K1" s="3" t="inlineStr">
        <is>
          <t>ΜΟΝΟ_ΣΚ</t>
        </is>
      </c>
      <c r="L1" s="3" t="inlineStr">
        <is>
          <t>ΕΝΕΡΓΟΣ</t>
        </is>
      </c>
      <c r="M1" s="3" t="inlineStr">
        <is>
          <t>MAX_ΜΗΝΑ</t>
        </is>
      </c>
      <c r="N1" s="3" t="inlineStr">
        <is>
          <t>MAX_ΣΚ</t>
        </is>
      </c>
      <c r="O1" s="3" t="inlineStr">
        <is>
          <t>MIN_GAP_DAYS</t>
        </is>
      </c>
      <c r="P1" s="3" t="inlineStr">
        <is>
          <t>ΣΧΟΛΙΑ</t>
        </is>
      </c>
      <c r="Q1" s="3" t="inlineStr">
        <is>
          <t>ΕΠΙΤΡΕΠΤΕΣ_ΜΕΡΕΣ</t>
        </is>
      </c>
      <c r="R1" s="16" t="inlineStr">
        <is>
          <t>MAX_MLSN</t>
        </is>
      </c>
      <c r="S1" s="16" t="inlineStr">
        <is>
          <t>MAX_ETAF</t>
        </is>
      </c>
      <c r="T1" s="16" t="inlineStr">
        <is>
          <t>MAX_EST</t>
        </is>
      </c>
      <c r="U1" s="16" t="inlineStr">
        <is>
          <t>MAX_VAVDM</t>
        </is>
      </c>
    </row>
    <row r="2">
      <c r="A2" s="25" t="inlineStr">
        <is>
          <t>ΡΟΥΣΚΑΣ ΔΗΜΗΤΡΙΟΣ</t>
        </is>
      </c>
      <c r="B2" s="5" t="inlineStr">
        <is>
          <t>ΕΤΥΠ/ΛΔ</t>
        </is>
      </c>
      <c r="C2" s="5" t="n">
        <v>1</v>
      </c>
      <c r="D2" s="5" t="n">
        <v>1</v>
      </c>
      <c r="E2" s="5" t="n">
        <v>1</v>
      </c>
      <c r="F2" s="5" t="n">
        <v>1</v>
      </c>
      <c r="G2" s="5" t="n">
        <v>1</v>
      </c>
      <c r="H2" s="5" t="n">
        <v>1</v>
      </c>
      <c r="I2" s="5" t="n">
        <v>1</v>
      </c>
      <c r="J2" s="5" t="n">
        <v>0</v>
      </c>
      <c r="K2" s="5" t="n">
        <v>0</v>
      </c>
      <c r="L2" s="5" t="n">
        <v>1</v>
      </c>
      <c r="M2" s="5" t="n">
        <v>4</v>
      </c>
      <c r="N2" s="5" t="n">
        <v>1</v>
      </c>
      <c r="O2" s="5" t="n">
        <v>7</v>
      </c>
      <c r="P2" s="4" t="n"/>
    </row>
    <row r="3">
      <c r="A3" s="5" t="inlineStr">
        <is>
          <t>ΣΠΥΡΙΔΗΣ ΟΡΕΣΤΗΣ</t>
        </is>
      </c>
      <c r="B3" s="5" t="inlineStr">
        <is>
          <t>ΕΤΥΠ/ΛΔ</t>
        </is>
      </c>
      <c r="C3" s="6" t="n">
        <v>1</v>
      </c>
      <c r="D3" s="6" t="n">
        <v>1</v>
      </c>
      <c r="E3" s="6" t="n">
        <v>1</v>
      </c>
      <c r="F3" s="6" t="n">
        <v>1</v>
      </c>
      <c r="G3" s="6" t="n">
        <v>1</v>
      </c>
      <c r="H3" s="6" t="n">
        <v>1</v>
      </c>
      <c r="I3" s="6" t="n">
        <v>1</v>
      </c>
      <c r="J3" s="6" t="n">
        <v>0</v>
      </c>
      <c r="K3" s="6" t="n">
        <v>0</v>
      </c>
      <c r="L3" s="6" t="n">
        <v>1</v>
      </c>
      <c r="M3" s="6" t="n">
        <v>4</v>
      </c>
      <c r="N3" s="6" t="n">
        <v>1</v>
      </c>
      <c r="O3" s="5" t="n">
        <v>7</v>
      </c>
    </row>
    <row r="4">
      <c r="A4" s="5" t="inlineStr">
        <is>
          <t>ΦΙΝΕΣ ΛΟΥΚΑΣ</t>
        </is>
      </c>
      <c r="B4" s="5" t="inlineStr">
        <is>
          <t>ΕΤΥΠ/ΛΔ</t>
        </is>
      </c>
      <c r="C4" s="5" t="n">
        <v>1</v>
      </c>
      <c r="D4" s="5" t="n">
        <v>1</v>
      </c>
      <c r="E4" s="5" t="n">
        <v>1</v>
      </c>
      <c r="F4" s="5" t="n">
        <v>1</v>
      </c>
      <c r="G4" s="5" t="n">
        <v>1</v>
      </c>
      <c r="H4" s="5" t="n">
        <v>1</v>
      </c>
      <c r="I4" s="5" t="n">
        <v>1</v>
      </c>
      <c r="J4" s="5" t="n">
        <v>0</v>
      </c>
      <c r="K4" s="5" t="n">
        <v>0</v>
      </c>
      <c r="L4" s="5" t="n">
        <v>1</v>
      </c>
      <c r="M4" s="5" t="n">
        <v>4</v>
      </c>
      <c r="N4" s="5" t="n">
        <v>1</v>
      </c>
      <c r="O4" s="5" t="n">
        <v>7</v>
      </c>
      <c r="P4" s="4" t="n"/>
    </row>
    <row r="5">
      <c r="A5" s="5" t="inlineStr">
        <is>
          <t>ΘΕΟΦΙΛΟΓΙΑΝΝΑΚΟΣ ΒΑΣΙΛΕΙΟΣ</t>
        </is>
      </c>
      <c r="B5" s="5" t="inlineStr">
        <is>
          <t>ΕΤΥΠ/ΛΔ</t>
        </is>
      </c>
      <c r="C5" s="6" t="n">
        <v>1</v>
      </c>
      <c r="D5" s="6" t="n">
        <v>1</v>
      </c>
      <c r="E5" s="6" t="n">
        <v>1</v>
      </c>
      <c r="F5" s="6" t="n">
        <v>1</v>
      </c>
      <c r="G5" s="6" t="n">
        <v>1</v>
      </c>
      <c r="H5" s="6" t="n">
        <v>1</v>
      </c>
      <c r="I5" s="6" t="n">
        <v>1</v>
      </c>
      <c r="J5" s="6" t="n">
        <v>0</v>
      </c>
      <c r="K5" s="6" t="n">
        <v>0</v>
      </c>
      <c r="L5" s="6" t="n">
        <v>1</v>
      </c>
      <c r="M5" s="6" t="n">
        <v>4</v>
      </c>
      <c r="N5" s="6" t="n">
        <v>1</v>
      </c>
      <c r="O5" s="5" t="n">
        <v>7</v>
      </c>
    </row>
    <row r="6" ht="15.5" customHeight="1">
      <c r="A6" s="5" t="inlineStr">
        <is>
          <t>ΜΑΓΚΟΣ ΓΕΩΡΓΙΟΣ(ΜΟΝΟ ΒΑΥΔΜ ΕΣΤ)</t>
        </is>
      </c>
      <c r="B6" s="5" t="inlineStr">
        <is>
          <t>ΕΤΥΠ/ΛΔ</t>
        </is>
      </c>
      <c r="C6" s="5" t="n">
        <v>0</v>
      </c>
      <c r="D6" s="5" t="n">
        <v>0</v>
      </c>
      <c r="E6" s="5" t="n">
        <v>1</v>
      </c>
      <c r="F6" s="5" t="n">
        <v>1</v>
      </c>
      <c r="G6" s="5" t="n">
        <v>0</v>
      </c>
      <c r="H6" s="5" t="n">
        <v>1</v>
      </c>
      <c r="I6" s="5" t="n">
        <v>1</v>
      </c>
      <c r="J6" s="5" t="n">
        <v>0</v>
      </c>
      <c r="K6" s="5" t="n">
        <v>0</v>
      </c>
      <c r="L6" s="5" t="n">
        <v>1</v>
      </c>
      <c r="M6" s="5" t="n">
        <v>4</v>
      </c>
      <c r="N6" s="5" t="n">
        <v>1</v>
      </c>
      <c r="O6" s="5" t="n">
        <v>7</v>
      </c>
      <c r="P6" s="4" t="n"/>
    </row>
    <row r="7">
      <c r="A7" s="26" t="inlineStr">
        <is>
          <t>ΠΑΡΑΣΧΑΚΗΣ ΔΗΜΗΤΡΙΟΣ</t>
        </is>
      </c>
      <c r="B7" s="5" t="inlineStr">
        <is>
          <t>ΛΔ (ΔΕΥ-ΤΡΙ)</t>
        </is>
      </c>
      <c r="C7" s="6" t="n">
        <v>1</v>
      </c>
      <c r="D7" s="6" t="n">
        <v>1</v>
      </c>
      <c r="E7" s="6" t="n">
        <v>1</v>
      </c>
      <c r="F7" s="6" t="n">
        <v>1</v>
      </c>
      <c r="G7" s="6" t="n">
        <v>1</v>
      </c>
      <c r="H7" s="6" t="n">
        <v>1</v>
      </c>
      <c r="I7" s="6" t="n">
        <v>1</v>
      </c>
      <c r="J7" s="6" t="n">
        <v>0</v>
      </c>
      <c r="K7" s="6" t="n">
        <v>0</v>
      </c>
      <c r="L7" s="6" t="n">
        <v>1</v>
      </c>
      <c r="M7" s="6" t="n">
        <v>4</v>
      </c>
      <c r="N7" s="6" t="n">
        <v>1</v>
      </c>
      <c r="O7" s="5" t="n">
        <v>7</v>
      </c>
      <c r="Q7" t="inlineStr">
        <is>
          <t>ΔΕΥΤΕΡΑ,ΤΡΙΤΗ</t>
        </is>
      </c>
    </row>
    <row r="8">
      <c r="A8" s="5" t="inlineStr">
        <is>
          <t>ΜΠΑΖΑΝΗΣ ΘΩΜΑΣ ΝΙΚΟΛΑΟΣ (ΚΑΘ ΠΡΟΤΙΜΗΣΗ)</t>
        </is>
      </c>
      <c r="B8" s="5" t="inlineStr">
        <is>
          <t>ΛΔ</t>
        </is>
      </c>
      <c r="C8" s="5" t="n">
        <v>0</v>
      </c>
      <c r="D8" s="5" t="n">
        <v>1</v>
      </c>
      <c r="E8" s="5" t="n">
        <v>1</v>
      </c>
      <c r="F8" s="5" t="n">
        <v>1</v>
      </c>
      <c r="G8" s="5" t="n">
        <v>1</v>
      </c>
      <c r="H8" s="5" t="n">
        <v>1</v>
      </c>
      <c r="I8" s="5" t="n">
        <v>1</v>
      </c>
      <c r="J8" s="5" t="n">
        <v>0</v>
      </c>
      <c r="K8" s="5" t="n">
        <v>0</v>
      </c>
      <c r="L8" s="5" t="n">
        <v>1</v>
      </c>
      <c r="M8" s="5" t="n">
        <v>4</v>
      </c>
      <c r="N8" s="5" t="n">
        <v>1</v>
      </c>
      <c r="O8" s="5" t="n">
        <v>7</v>
      </c>
      <c r="P8" s="4" t="n"/>
      <c r="Q8" t="inlineStr">
        <is>
          <t>ΔΕΥΤΕΡΑ,ΤΡΙΤΗ,ΤΕΤΑΡΤΗ,ΠΕΜΠΤΗ,ΠΑΡΑΣΚΕΥΗ</t>
        </is>
      </c>
    </row>
    <row r="9">
      <c r="A9" s="5" t="inlineStr">
        <is>
          <t>ΧΕΙΡΔΑΡΗΣ ΚΩΝΣΤΑΝΤΙΝΟΣ</t>
        </is>
      </c>
      <c r="B9" s="5" t="inlineStr">
        <is>
          <t>ΛΔ</t>
        </is>
      </c>
      <c r="C9" s="6" t="n">
        <v>1</v>
      </c>
      <c r="D9" s="6" t="n">
        <v>1</v>
      </c>
      <c r="E9" s="6" t="n">
        <v>1</v>
      </c>
      <c r="F9" s="6" t="n">
        <v>1</v>
      </c>
      <c r="G9" s="6" t="n">
        <v>1</v>
      </c>
      <c r="H9" s="6" t="n">
        <v>1</v>
      </c>
      <c r="I9" s="6" t="n">
        <v>1</v>
      </c>
      <c r="J9" s="6" t="n">
        <v>0</v>
      </c>
      <c r="K9" s="6" t="n">
        <v>0</v>
      </c>
      <c r="L9" s="6" t="n">
        <v>1</v>
      </c>
      <c r="M9" s="6" t="n">
        <v>4</v>
      </c>
      <c r="N9" s="6" t="n">
        <v>1</v>
      </c>
      <c r="O9" s="5" t="n">
        <v>7</v>
      </c>
    </row>
    <row r="10">
      <c r="A10" s="5" t="inlineStr">
        <is>
          <t>ΖΑΡΜΑΚΟΥΠΗΣ ΓΕΩΡΓΙΟΣ</t>
        </is>
      </c>
      <c r="B10" s="5" t="inlineStr">
        <is>
          <t>ΛΔ</t>
        </is>
      </c>
      <c r="C10" s="6" t="n">
        <v>1</v>
      </c>
      <c r="D10" s="5" t="n">
        <v>1</v>
      </c>
      <c r="E10" s="5" t="n">
        <v>1</v>
      </c>
      <c r="F10" s="5" t="n">
        <v>1</v>
      </c>
      <c r="G10" s="5" t="n">
        <v>1</v>
      </c>
      <c r="H10" s="5" t="n">
        <v>1</v>
      </c>
      <c r="I10" s="5" t="n">
        <v>1</v>
      </c>
      <c r="J10" s="5" t="n">
        <v>0</v>
      </c>
      <c r="K10" s="5" t="n">
        <v>0</v>
      </c>
      <c r="L10" s="5" t="n">
        <v>1</v>
      </c>
      <c r="M10" s="5" t="n">
        <v>4</v>
      </c>
      <c r="N10" s="5" t="n">
        <v>1</v>
      </c>
      <c r="O10" s="5" t="n">
        <v>7</v>
      </c>
      <c r="P10" s="4" t="n"/>
    </row>
    <row r="11">
      <c r="A11" s="5" t="inlineStr">
        <is>
          <t>ΣΤΑΜΑΤΟΓΛΟΥ ΔΗΜΗΤΡΙΟΣ</t>
        </is>
      </c>
      <c r="B11" s="5" t="inlineStr">
        <is>
          <t>ΛΔ</t>
        </is>
      </c>
      <c r="C11" s="6" t="n">
        <v>1</v>
      </c>
      <c r="D11" s="6" t="n">
        <v>1</v>
      </c>
      <c r="E11" s="6" t="n">
        <v>1</v>
      </c>
      <c r="F11" s="6" t="n">
        <v>1</v>
      </c>
      <c r="G11" s="6" t="n">
        <v>1</v>
      </c>
      <c r="H11" s="6" t="n">
        <v>1</v>
      </c>
      <c r="I11" s="6" t="n">
        <v>1</v>
      </c>
      <c r="J11" s="6" t="n">
        <v>0</v>
      </c>
      <c r="K11" s="6" t="n">
        <v>0</v>
      </c>
      <c r="L11" s="6" t="n">
        <v>1</v>
      </c>
      <c r="M11" s="6" t="n">
        <v>4</v>
      </c>
      <c r="N11" s="6" t="n">
        <v>1</v>
      </c>
      <c r="O11" s="5" t="n">
        <v>7</v>
      </c>
    </row>
    <row r="12">
      <c r="A12" s="5" t="inlineStr">
        <is>
          <t>ΜΥΡΤΑ ΡΕΝΑΤΟ</t>
        </is>
      </c>
      <c r="B12" s="5" t="inlineStr">
        <is>
          <t>ΛΔ</t>
        </is>
      </c>
      <c r="C12" s="6" t="n">
        <v>1</v>
      </c>
      <c r="D12" s="5" t="n">
        <v>1</v>
      </c>
      <c r="E12" s="5" t="n">
        <v>1</v>
      </c>
      <c r="F12" s="5" t="n">
        <v>1</v>
      </c>
      <c r="G12" s="5" t="n">
        <v>1</v>
      </c>
      <c r="H12" s="5" t="n">
        <v>1</v>
      </c>
      <c r="I12" s="5" t="n">
        <v>1</v>
      </c>
      <c r="J12" s="5" t="n">
        <v>0</v>
      </c>
      <c r="K12" s="5" t="n">
        <v>0</v>
      </c>
      <c r="L12" s="5" t="n">
        <v>1</v>
      </c>
      <c r="M12" s="5" t="n">
        <v>4</v>
      </c>
      <c r="N12" s="5" t="n">
        <v>1</v>
      </c>
      <c r="O12" s="5" t="n">
        <v>7</v>
      </c>
      <c r="P12" s="4" t="n"/>
    </row>
    <row r="13">
      <c r="A13" s="5" t="inlineStr">
        <is>
          <t>ΜΙΧΑΛΙΩΔΗΣ ΔΟΥΚΑΣ ΤΑΞΙΑΡΧΗΣ</t>
        </is>
      </c>
      <c r="B13" s="5" t="inlineStr">
        <is>
          <t>ΛΔ</t>
        </is>
      </c>
      <c r="C13" s="6" t="n">
        <v>1</v>
      </c>
      <c r="D13" s="6" t="n">
        <v>1</v>
      </c>
      <c r="E13" s="6" t="n">
        <v>1</v>
      </c>
      <c r="F13" s="6" t="n">
        <v>1</v>
      </c>
      <c r="G13" s="6" t="n">
        <v>1</v>
      </c>
      <c r="H13" s="6" t="n">
        <v>1</v>
      </c>
      <c r="I13" s="6" t="n">
        <v>1</v>
      </c>
      <c r="J13" s="6" t="n">
        <v>0</v>
      </c>
      <c r="K13" s="6" t="n">
        <v>0</v>
      </c>
      <c r="L13" s="6" t="n">
        <v>1</v>
      </c>
      <c r="M13" s="6" t="n">
        <v>4</v>
      </c>
      <c r="N13" s="6" t="n">
        <v>1</v>
      </c>
      <c r="O13" s="5" t="n">
        <v>7</v>
      </c>
    </row>
    <row r="14">
      <c r="A14" s="5" t="inlineStr">
        <is>
          <t>ΜΠΟΥΚΟΥΡΑΣ ΕΠΑΜΕΙΝΩΝΔΑΣ</t>
        </is>
      </c>
      <c r="B14" s="5" t="inlineStr">
        <is>
          <t>ΛΔ</t>
        </is>
      </c>
      <c r="C14" s="6" t="n">
        <v>1</v>
      </c>
      <c r="D14" s="5" t="n">
        <v>1</v>
      </c>
      <c r="E14" s="5" t="n">
        <v>1</v>
      </c>
      <c r="F14" s="5" t="n">
        <v>1</v>
      </c>
      <c r="G14" s="5" t="n">
        <v>1</v>
      </c>
      <c r="H14" s="5" t="n">
        <v>1</v>
      </c>
      <c r="I14" s="5" t="n">
        <v>1</v>
      </c>
      <c r="J14" s="5" t="n">
        <v>0</v>
      </c>
      <c r="K14" s="5" t="n">
        <v>0</v>
      </c>
      <c r="L14" s="5" t="n">
        <v>1</v>
      </c>
      <c r="M14" s="5" t="n">
        <v>4</v>
      </c>
      <c r="N14" s="5" t="n">
        <v>1</v>
      </c>
      <c r="O14" s="5" t="n">
        <v>7</v>
      </c>
      <c r="P14" s="4" t="n"/>
    </row>
    <row r="15">
      <c r="A15" s="5" t="inlineStr">
        <is>
          <t>ΚΙΝΙΝΗΣ ΔΗΜΗΤΡΙΟΣ</t>
        </is>
      </c>
      <c r="B15" s="5" t="inlineStr">
        <is>
          <t>ΛΔ</t>
        </is>
      </c>
      <c r="C15" s="6" t="n">
        <v>1</v>
      </c>
      <c r="D15" s="6" t="n">
        <v>1</v>
      </c>
      <c r="E15" s="6" t="n">
        <v>1</v>
      </c>
      <c r="F15" s="6" t="n">
        <v>1</v>
      </c>
      <c r="G15" s="6" t="n">
        <v>1</v>
      </c>
      <c r="H15" s="6" t="n">
        <v>1</v>
      </c>
      <c r="I15" s="6" t="n">
        <v>1</v>
      </c>
      <c r="J15" s="6" t="n">
        <v>0</v>
      </c>
      <c r="K15" s="6" t="n">
        <v>0</v>
      </c>
      <c r="L15" s="6" t="n">
        <v>1</v>
      </c>
      <c r="M15" s="6" t="n">
        <v>4</v>
      </c>
      <c r="N15" s="6" t="n">
        <v>1</v>
      </c>
      <c r="O15" s="5" t="n">
        <v>7</v>
      </c>
    </row>
    <row r="16">
      <c r="A16" s="5" t="inlineStr">
        <is>
          <t>ΜΠΑΡΑΛΗΣ ΗΛΙΑΣ</t>
        </is>
      </c>
      <c r="B16" s="5" t="inlineStr">
        <is>
          <t>ΛΔ</t>
        </is>
      </c>
      <c r="C16" s="6" t="n">
        <v>1</v>
      </c>
      <c r="D16" s="5" t="n">
        <v>1</v>
      </c>
      <c r="E16" s="5" t="n">
        <v>1</v>
      </c>
      <c r="F16" s="5" t="n">
        <v>1</v>
      </c>
      <c r="G16" s="5" t="n">
        <v>1</v>
      </c>
      <c r="H16" s="5" t="n">
        <v>1</v>
      </c>
      <c r="I16" s="5" t="n">
        <v>1</v>
      </c>
      <c r="J16" s="5" t="n">
        <v>0</v>
      </c>
      <c r="K16" s="5" t="n">
        <v>0</v>
      </c>
      <c r="L16" s="5" t="n">
        <v>1</v>
      </c>
      <c r="M16" s="5" t="n">
        <v>4</v>
      </c>
      <c r="N16" s="5" t="n">
        <v>1</v>
      </c>
      <c r="O16" s="5" t="n">
        <v>7</v>
      </c>
      <c r="P16" s="4" t="n"/>
    </row>
    <row r="17" ht="15.5" customHeight="1">
      <c r="A17" s="5" t="inlineStr">
        <is>
          <t>ΚΑΡΑΙΣΚΑΚΗΣ ΓΕΩΡΓΙΟΣ (1ΥΠ)(ΜΟΝΟ ΚΑΘ)</t>
        </is>
      </c>
      <c r="B17" s="5" t="inlineStr">
        <is>
          <t>ΛΔ</t>
        </is>
      </c>
      <c r="C17" s="6" t="n">
        <v>1</v>
      </c>
      <c r="D17" s="6" t="n">
        <v>1</v>
      </c>
      <c r="E17" s="6" t="n">
        <v>1</v>
      </c>
      <c r="F17" s="6" t="n">
        <v>1</v>
      </c>
      <c r="G17" s="6" t="n">
        <v>0</v>
      </c>
      <c r="H17" s="6" t="n">
        <v>0</v>
      </c>
      <c r="I17" s="6" t="n">
        <v>0</v>
      </c>
      <c r="J17" s="6" t="n">
        <v>1</v>
      </c>
      <c r="K17" s="6" t="n">
        <v>0</v>
      </c>
      <c r="L17" s="6" t="n">
        <v>1</v>
      </c>
      <c r="M17" s="6" t="n">
        <v>4</v>
      </c>
      <c r="N17" s="6" t="n">
        <v>1</v>
      </c>
      <c r="O17" s="5" t="n">
        <v>7</v>
      </c>
    </row>
    <row r="18">
      <c r="A18" s="26" t="inlineStr">
        <is>
          <t>ΠΗΓΑΚΗΣ ΝΙΚΟΛΑΟΣ ΜΙΧΑΗΛ (Ι2) (ΤΡΙΤΗ-ΤΕΤΑΡΤΗ)</t>
        </is>
      </c>
      <c r="B18" s="5" t="inlineStr">
        <is>
          <t>ΛΔ</t>
        </is>
      </c>
      <c r="C18" s="6" t="n">
        <v>1</v>
      </c>
      <c r="D18" s="5" t="n">
        <v>1</v>
      </c>
      <c r="E18" s="5" t="n">
        <v>1</v>
      </c>
      <c r="F18" s="5" t="n">
        <v>1</v>
      </c>
      <c r="G18" s="5" t="n">
        <v>1</v>
      </c>
      <c r="H18" s="5" t="n">
        <v>1</v>
      </c>
      <c r="I18" s="5" t="n">
        <v>1</v>
      </c>
      <c r="J18" s="5" t="n">
        <v>0</v>
      </c>
      <c r="K18" s="5" t="n">
        <v>0</v>
      </c>
      <c r="L18" s="5" t="n">
        <v>1</v>
      </c>
      <c r="M18" s="5" t="n">
        <v>4</v>
      </c>
      <c r="N18" s="5" t="n">
        <v>1</v>
      </c>
      <c r="O18" s="5" t="n">
        <v>7</v>
      </c>
      <c r="P18" s="4" t="n"/>
      <c r="Q18" t="inlineStr">
        <is>
          <t>ΤΡΙΤΗ,ΤΕΤΑΡΤΗ</t>
        </is>
      </c>
    </row>
    <row r="19">
      <c r="A19" s="5" t="inlineStr">
        <is>
          <t>ΕΥΑΓΓΕΛΙΝΟΣ ΜΙΧΑΗΛ</t>
        </is>
      </c>
      <c r="B19" s="5" t="inlineStr">
        <is>
          <t>ΚΨΜ (3 ΥΠ)</t>
        </is>
      </c>
      <c r="C19" s="6" t="n">
        <v>1</v>
      </c>
      <c r="D19" s="6" t="n">
        <v>1</v>
      </c>
      <c r="E19" s="6" t="n">
        <v>1</v>
      </c>
      <c r="F19" s="6" t="n">
        <v>1</v>
      </c>
      <c r="G19" s="6" t="n">
        <v>1</v>
      </c>
      <c r="H19" s="6" t="n">
        <v>1</v>
      </c>
      <c r="I19" s="6" t="n">
        <v>1</v>
      </c>
      <c r="J19" s="6" t="n">
        <v>0</v>
      </c>
      <c r="K19" s="6" t="n">
        <v>0</v>
      </c>
      <c r="L19" s="6" t="n">
        <v>1</v>
      </c>
      <c r="M19" s="6" t="n">
        <v>3</v>
      </c>
      <c r="N19" s="6" t="n">
        <v>1</v>
      </c>
      <c r="O19" s="5" t="n">
        <v>7</v>
      </c>
    </row>
    <row r="20">
      <c r="A20" s="5" t="inlineStr">
        <is>
          <t>ΠΑΝΟΥΣΗΣ ΚΩΝΣΤΑΝΤΙΝΟΣ</t>
        </is>
      </c>
      <c r="B20" s="5" t="inlineStr">
        <is>
          <t xml:space="preserve">ΣΤΡΑΤΟΛΟΓΙΑ </t>
        </is>
      </c>
      <c r="C20" s="6" t="n">
        <v>1</v>
      </c>
      <c r="D20" s="5" t="n">
        <v>1</v>
      </c>
      <c r="E20" s="5" t="n">
        <v>1</v>
      </c>
      <c r="F20" s="5" t="n">
        <v>1</v>
      </c>
      <c r="G20" s="5" t="n">
        <v>1</v>
      </c>
      <c r="H20" s="5" t="n">
        <v>1</v>
      </c>
      <c r="I20" s="5" t="n">
        <v>1</v>
      </c>
      <c r="J20" s="5" t="n">
        <v>0</v>
      </c>
      <c r="K20" s="5" t="n">
        <v>0</v>
      </c>
      <c r="L20" s="5" t="n">
        <v>1</v>
      </c>
      <c r="M20" s="5" t="n">
        <v>4</v>
      </c>
      <c r="N20" s="5" t="n">
        <v>1</v>
      </c>
      <c r="O20" s="5" t="n">
        <v>7</v>
      </c>
      <c r="P20" s="4" t="n"/>
    </row>
    <row r="21">
      <c r="A21" s="10" t="inlineStr">
        <is>
          <t>ΛΑΓΙΟΣ ΑΘΑΝΑΣΙΟΣ (ΑΝΑΡΩΤΙΚΗ 19/3)</t>
        </is>
      </c>
      <c r="B21" s="5" t="inlineStr">
        <is>
          <t xml:space="preserve">ΣΤΡΑΤΟΛΟΓΙΑ </t>
        </is>
      </c>
      <c r="C21" s="6" t="n">
        <v>1</v>
      </c>
      <c r="D21" s="6" t="n">
        <v>1</v>
      </c>
      <c r="E21" s="6" t="n">
        <v>1</v>
      </c>
      <c r="F21" s="6" t="n">
        <v>1</v>
      </c>
      <c r="G21" s="6" t="n">
        <v>1</v>
      </c>
      <c r="H21" s="6" t="n">
        <v>1</v>
      </c>
      <c r="I21" s="6" t="n">
        <v>1</v>
      </c>
      <c r="J21" s="6" t="n">
        <v>0</v>
      </c>
      <c r="K21" s="6" t="n">
        <v>0</v>
      </c>
      <c r="L21" s="6" t="n">
        <v>0</v>
      </c>
      <c r="M21" s="6" t="n">
        <v>4</v>
      </c>
      <c r="N21" s="6" t="n">
        <v>1</v>
      </c>
      <c r="O21" s="5" t="n">
        <v>7</v>
      </c>
      <c r="P21" s="10" t="inlineStr">
        <is>
          <t>ΛΑΓΙΟΣ ΑΘΑΝΑΣΙΟΣ (ΑΝΑΡΩΤΙΚΗ 19/3)</t>
        </is>
      </c>
    </row>
    <row r="22">
      <c r="A22" s="5" t="inlineStr">
        <is>
          <t>ΑΛΕΞΑΝΔΡΑΚΗΣ ΠΑΝΑΓΙΩΤΗΣ</t>
        </is>
      </c>
      <c r="B22" s="5" t="inlineStr">
        <is>
          <t xml:space="preserve">ΣΤΡΑΤΟΛΟΓΙΑ </t>
        </is>
      </c>
      <c r="C22" s="6" t="n">
        <v>1</v>
      </c>
      <c r="D22" s="5" t="n">
        <v>1</v>
      </c>
      <c r="E22" s="5" t="n">
        <v>1</v>
      </c>
      <c r="F22" s="5" t="n">
        <v>1</v>
      </c>
      <c r="G22" s="5" t="n">
        <v>1</v>
      </c>
      <c r="H22" s="5" t="n">
        <v>1</v>
      </c>
      <c r="I22" s="5" t="n">
        <v>1</v>
      </c>
      <c r="J22" s="5" t="n">
        <v>0</v>
      </c>
      <c r="K22" s="5" t="n">
        <v>0</v>
      </c>
      <c r="L22" s="5" t="n">
        <v>1</v>
      </c>
      <c r="M22" s="5" t="n">
        <v>4</v>
      </c>
      <c r="N22" s="5" t="n">
        <v>1</v>
      </c>
      <c r="O22" s="5" t="n">
        <v>7</v>
      </c>
      <c r="P22" s="4" t="n"/>
    </row>
    <row r="23">
      <c r="A23" s="5" t="inlineStr">
        <is>
          <t>ΒΑΚΑΛΗΣ ΑΝΤΩΝΙΟΣ</t>
        </is>
      </c>
      <c r="B23" s="5" t="inlineStr">
        <is>
          <t xml:space="preserve">ΣΤΡΑΤΟΛΟΓΙΑ </t>
        </is>
      </c>
      <c r="C23" s="6" t="n">
        <v>1</v>
      </c>
      <c r="D23" s="6" t="n">
        <v>1</v>
      </c>
      <c r="E23" s="6" t="n">
        <v>1</v>
      </c>
      <c r="F23" s="6" t="n">
        <v>1</v>
      </c>
      <c r="G23" s="6" t="n">
        <v>1</v>
      </c>
      <c r="H23" s="6" t="n">
        <v>1</v>
      </c>
      <c r="I23" s="6" t="n">
        <v>1</v>
      </c>
      <c r="J23" s="6" t="n">
        <v>0</v>
      </c>
      <c r="K23" s="6" t="n">
        <v>0</v>
      </c>
      <c r="L23" s="6" t="n">
        <v>1</v>
      </c>
      <c r="M23" s="6" t="n">
        <v>4</v>
      </c>
      <c r="N23" s="6" t="n">
        <v>1</v>
      </c>
      <c r="O23" s="5" t="n">
        <v>7</v>
      </c>
    </row>
    <row r="24">
      <c r="A24" s="5" t="inlineStr">
        <is>
          <t>ΣΤΡΑΤΟΣ ΒΑΣΙΛΕΙΟΣ</t>
        </is>
      </c>
      <c r="B24" s="5" t="inlineStr">
        <is>
          <t xml:space="preserve">ΣΤΡΑΤΟΛΟΓΙΑ </t>
        </is>
      </c>
      <c r="C24" s="6" t="n">
        <v>1</v>
      </c>
      <c r="D24" s="5" t="n">
        <v>1</v>
      </c>
      <c r="E24" s="5" t="n">
        <v>1</v>
      </c>
      <c r="F24" s="5" t="n">
        <v>1</v>
      </c>
      <c r="G24" s="5" t="n">
        <v>1</v>
      </c>
      <c r="H24" s="5" t="n">
        <v>1</v>
      </c>
      <c r="I24" s="5" t="n">
        <v>1</v>
      </c>
      <c r="J24" s="5" t="n">
        <v>0</v>
      </c>
      <c r="K24" s="5" t="n">
        <v>0</v>
      </c>
      <c r="L24" s="5" t="n">
        <v>1</v>
      </c>
      <c r="M24" s="5" t="n">
        <v>4</v>
      </c>
      <c r="N24" s="5" t="n">
        <v>1</v>
      </c>
      <c r="O24" s="5" t="n">
        <v>7</v>
      </c>
      <c r="P24" s="4" t="n"/>
    </row>
    <row r="25">
      <c r="A25" s="5" t="inlineStr">
        <is>
          <t>ΚΑΡΑΣΑΒΒΑΣ ΠΑΝΤΕΛΕΗΜΩΝ</t>
        </is>
      </c>
      <c r="B25" s="5" t="inlineStr">
        <is>
          <t xml:space="preserve">ΣΤΡΑΤΟΛΟΓΙΑ </t>
        </is>
      </c>
      <c r="C25" s="6" t="n">
        <v>1</v>
      </c>
      <c r="D25" s="6" t="n">
        <v>1</v>
      </c>
      <c r="E25" s="6" t="n">
        <v>1</v>
      </c>
      <c r="F25" s="6" t="n">
        <v>1</v>
      </c>
      <c r="G25" s="6" t="n">
        <v>1</v>
      </c>
      <c r="H25" s="6" t="n">
        <v>1</v>
      </c>
      <c r="I25" s="6" t="n">
        <v>1</v>
      </c>
      <c r="J25" s="6" t="n">
        <v>0</v>
      </c>
      <c r="K25" s="6" t="n">
        <v>0</v>
      </c>
      <c r="L25" s="6" t="n">
        <v>1</v>
      </c>
      <c r="M25" s="6" t="n">
        <v>4</v>
      </c>
      <c r="N25" s="6" t="n">
        <v>1</v>
      </c>
      <c r="O25" s="5" t="n">
        <v>7</v>
      </c>
    </row>
    <row r="26">
      <c r="A26" s="5" t="inlineStr">
        <is>
          <t>ΑΓΓΕΛΟΓΙΑΝΝΟΠΟΥΛΟΣ ΜΑΡΙΟΣ</t>
        </is>
      </c>
      <c r="B26" s="5" t="inlineStr">
        <is>
          <t xml:space="preserve">ΣΤΡΑΤΟΛΟΓΙΑ </t>
        </is>
      </c>
      <c r="C26" s="6" t="n">
        <v>1</v>
      </c>
      <c r="D26" s="5" t="n">
        <v>1</v>
      </c>
      <c r="E26" s="5" t="n">
        <v>1</v>
      </c>
      <c r="F26" s="5" t="n">
        <v>1</v>
      </c>
      <c r="G26" s="5" t="n">
        <v>1</v>
      </c>
      <c r="H26" s="5" t="n">
        <v>1</v>
      </c>
      <c r="I26" s="5" t="n">
        <v>1</v>
      </c>
      <c r="J26" s="5" t="n">
        <v>0</v>
      </c>
      <c r="K26" s="5" t="n">
        <v>0</v>
      </c>
      <c r="L26" s="5" t="n">
        <v>1</v>
      </c>
      <c r="M26" s="5" t="n">
        <v>4</v>
      </c>
      <c r="N26" s="5" t="n">
        <v>1</v>
      </c>
      <c r="O26" s="5" t="n">
        <v>7</v>
      </c>
      <c r="P26" s="4" t="n"/>
    </row>
    <row r="27" ht="15.5" customHeight="1">
      <c r="A27" s="5" t="inlineStr">
        <is>
          <t>ΑΒΡΑΜΗΛΑΣ ΓΕΩΡΓΙΟΣ Π. (ΟΧΙ ΜΛΣΝ)</t>
        </is>
      </c>
      <c r="B27" s="5" t="inlineStr">
        <is>
          <t>ΓΔΥ</t>
        </is>
      </c>
      <c r="C27" s="6" t="n">
        <v>0</v>
      </c>
      <c r="D27" s="6" t="n">
        <v>1</v>
      </c>
      <c r="E27" s="6" t="n">
        <v>1</v>
      </c>
      <c r="F27" s="6" t="n">
        <v>1</v>
      </c>
      <c r="G27" s="6" t="n">
        <v>0</v>
      </c>
      <c r="H27" s="6" t="n">
        <v>1</v>
      </c>
      <c r="I27" s="6" t="n">
        <v>1</v>
      </c>
      <c r="J27" s="6" t="n">
        <v>0</v>
      </c>
      <c r="K27" s="6" t="n">
        <v>0</v>
      </c>
      <c r="L27" s="6" t="n">
        <v>1</v>
      </c>
      <c r="M27" s="6" t="n">
        <v>4</v>
      </c>
      <c r="N27" s="6" t="n">
        <v>1</v>
      </c>
      <c r="O27" s="5" t="n">
        <v>7</v>
      </c>
    </row>
    <row r="28" ht="15.5" customHeight="1">
      <c r="A28" s="5" t="inlineStr">
        <is>
          <t>ΚΩΣΤΟΓΙΑΝΝΗΣ ΓΕΩΡΓΙΟΣ</t>
        </is>
      </c>
      <c r="B28" s="5" t="inlineStr">
        <is>
          <t>ΛΔ (ΒΑΥΔΜ) ΠΕΜ ΣΑΒ ΨΥΧΟΛΟΓΟΣ</t>
        </is>
      </c>
      <c r="C28" s="6" t="n">
        <v>0</v>
      </c>
      <c r="D28" s="5" t="n">
        <v>0</v>
      </c>
      <c r="E28" s="5" t="n">
        <v>1</v>
      </c>
      <c r="F28" s="5" t="n">
        <v>1</v>
      </c>
      <c r="G28" s="5" t="n">
        <v>0</v>
      </c>
      <c r="H28" s="5" t="n">
        <v>1</v>
      </c>
      <c r="I28" s="5" t="n">
        <v>1</v>
      </c>
      <c r="J28" s="5" t="n">
        <v>0</v>
      </c>
      <c r="K28" s="5" t="n">
        <v>0</v>
      </c>
      <c r="L28" s="5" t="n">
        <v>1</v>
      </c>
      <c r="M28" s="5" t="n">
        <v>4</v>
      </c>
      <c r="N28" s="5" t="n">
        <v>1</v>
      </c>
      <c r="O28" s="5" t="n">
        <v>7</v>
      </c>
      <c r="P28" s="4" t="n"/>
    </row>
    <row r="29" ht="15.5" customHeight="1">
      <c r="A29" s="5" t="inlineStr">
        <is>
          <t>ΣΥΝΟΔΙΝΟΣ ΕΡΩΤΟΚΡΙΤΟΣ</t>
        </is>
      </c>
      <c r="B29" s="5" t="inlineStr">
        <is>
          <t>Γ' ΚΛ (1 ΥΠ)</t>
        </is>
      </c>
      <c r="C29" s="6" t="n">
        <v>1</v>
      </c>
      <c r="D29" s="6" t="n">
        <v>1</v>
      </c>
      <c r="E29" s="6" t="n">
        <v>1</v>
      </c>
      <c r="F29" s="6" t="n">
        <v>1</v>
      </c>
      <c r="G29" s="6" t="n">
        <v>0</v>
      </c>
      <c r="H29" s="6" t="n">
        <v>0</v>
      </c>
      <c r="I29" s="6" t="n">
        <v>0</v>
      </c>
      <c r="J29" s="6" t="n">
        <v>1</v>
      </c>
      <c r="K29" s="6" t="n">
        <v>1</v>
      </c>
      <c r="L29" s="6" t="n">
        <v>1</v>
      </c>
      <c r="M29" s="6" t="n">
        <v>4</v>
      </c>
      <c r="N29" s="6" t="n">
        <v>1</v>
      </c>
      <c r="O29" s="5" t="n">
        <v>7</v>
      </c>
    </row>
    <row r="30" ht="15.5" customHeight="1">
      <c r="A30" s="26" t="inlineStr">
        <is>
          <t>ΛΥΜΠΕΡΑΤΟΣ ΑΝΔΡΕΑΣ (ΟΧΙ ΣΚ) (ΣΤΗΝ ΑΝΑΓΚΗ 1 ΒΑΥΔΜ ΣΚ)</t>
        </is>
      </c>
      <c r="B30" s="5" t="inlineStr">
        <is>
          <t>ΚΗΠΟΥΡΟΣ</t>
        </is>
      </c>
      <c r="C30" s="6" t="n">
        <v>1</v>
      </c>
      <c r="D30" s="5" t="n">
        <v>1</v>
      </c>
      <c r="E30" s="5" t="n">
        <v>1</v>
      </c>
      <c r="F30" s="5" t="n">
        <v>1</v>
      </c>
      <c r="G30" s="5" t="n">
        <v>1</v>
      </c>
      <c r="H30" s="5" t="n">
        <v>1</v>
      </c>
      <c r="I30" s="5" t="n">
        <v>1</v>
      </c>
      <c r="J30" s="5" t="n">
        <v>0</v>
      </c>
      <c r="K30" s="5" t="n">
        <v>0</v>
      </c>
      <c r="L30" s="5" t="n">
        <v>1</v>
      </c>
      <c r="M30" s="5" t="n">
        <v>4</v>
      </c>
      <c r="N30" s="5" t="n">
        <v>0</v>
      </c>
      <c r="O30" s="5" t="n">
        <v>7</v>
      </c>
      <c r="P30" t="inlineStr">
        <is>
          <t xml:space="preserve">ΌΧΙ ΜΛΣΝ ΕΣΤ ΚΑΘ </t>
        </is>
      </c>
    </row>
    <row r="31">
      <c r="A31" s="5" t="inlineStr">
        <is>
          <t>ΓΙΑΝΝΑΚΟΠΟΥΛΟΣ ΑΛΕΞΑΝΔΡΟΣ</t>
        </is>
      </c>
      <c r="B31" s="5" t="inlineStr">
        <is>
          <t>ΚΗΠΟΥΡΟΣ</t>
        </is>
      </c>
      <c r="C31" s="6" t="n">
        <v>1</v>
      </c>
      <c r="D31" s="6" t="n">
        <v>1</v>
      </c>
      <c r="E31" s="6" t="n">
        <v>1</v>
      </c>
      <c r="F31" s="6" t="n">
        <v>1</v>
      </c>
      <c r="G31" s="6" t="n">
        <v>1</v>
      </c>
      <c r="H31" s="6" t="n">
        <v>1</v>
      </c>
      <c r="I31" s="6" t="n">
        <v>1</v>
      </c>
      <c r="J31" s="6" t="n">
        <v>0</v>
      </c>
      <c r="K31" s="6" t="n">
        <v>0</v>
      </c>
      <c r="L31" s="6" t="n">
        <v>1</v>
      </c>
      <c r="M31" s="6" t="n">
        <v>4</v>
      </c>
      <c r="N31" s="6" t="n">
        <v>1</v>
      </c>
      <c r="O31" s="5" t="n">
        <v>7</v>
      </c>
      <c r="P31" t="inlineStr">
        <is>
          <t xml:space="preserve">ΌΧΙ ΜΛΣΝ ΕΣΤ ΚΑΘ </t>
        </is>
      </c>
    </row>
    <row r="32">
      <c r="A32" s="5" t="inlineStr">
        <is>
          <t>ΦΕΡΓΑΔΗΣ ΚΩΝΣΤΑΝΤΙΝΟΣ</t>
        </is>
      </c>
      <c r="B32" s="5" t="inlineStr">
        <is>
          <t>ΚΗΠΟΥΡΟΣ</t>
        </is>
      </c>
      <c r="C32" s="6" t="n">
        <v>1</v>
      </c>
      <c r="D32" s="5" t="n">
        <v>1</v>
      </c>
      <c r="E32" s="5" t="n">
        <v>1</v>
      </c>
      <c r="F32" s="5" t="n">
        <v>1</v>
      </c>
      <c r="G32" s="5" t="n">
        <v>1</v>
      </c>
      <c r="H32" s="5" t="n">
        <v>1</v>
      </c>
      <c r="I32" s="5" t="n">
        <v>1</v>
      </c>
      <c r="J32" s="5" t="n">
        <v>0</v>
      </c>
      <c r="K32" s="5" t="n">
        <v>0</v>
      </c>
      <c r="L32" s="5" t="n">
        <v>1</v>
      </c>
      <c r="M32" s="5" t="n">
        <v>4</v>
      </c>
      <c r="N32" s="5" t="n">
        <v>1</v>
      </c>
      <c r="O32" s="5" t="n">
        <v>7</v>
      </c>
      <c r="P32" t="inlineStr">
        <is>
          <t xml:space="preserve">ΌΧΙ ΜΛΣΝ ΕΣΤ ΚΑΘ </t>
        </is>
      </c>
    </row>
    <row r="33">
      <c r="A33" s="5" t="inlineStr">
        <is>
          <t>ΠΙΕΡΡΟΣ ΠΑΝΑΓΙΩΤΗΣ (Ι2)</t>
        </is>
      </c>
      <c r="B33" s="5" t="inlineStr">
        <is>
          <t>ΚΗΠΟΥΡΟΣ</t>
        </is>
      </c>
      <c r="C33" s="6" t="n">
        <v>1</v>
      </c>
      <c r="D33" s="6" t="n">
        <v>1</v>
      </c>
      <c r="E33" s="6" t="n">
        <v>1</v>
      </c>
      <c r="F33" s="6" t="n">
        <v>1</v>
      </c>
      <c r="G33" s="6" t="n">
        <v>1</v>
      </c>
      <c r="H33" s="6" t="n">
        <v>1</v>
      </c>
      <c r="I33" s="6" t="n">
        <v>1</v>
      </c>
      <c r="J33" s="6" t="n">
        <v>0</v>
      </c>
      <c r="K33" s="6" t="n">
        <v>0</v>
      </c>
      <c r="L33" s="6" t="n">
        <v>1</v>
      </c>
      <c r="M33" s="6" t="n">
        <v>4</v>
      </c>
      <c r="N33" s="6" t="n">
        <v>1</v>
      </c>
      <c r="O33" s="5" t="n">
        <v>7</v>
      </c>
      <c r="P33" t="inlineStr">
        <is>
          <t xml:space="preserve">ΌΧΙ ΜΛΣΝ ΕΣΤ ΚΑΘ </t>
        </is>
      </c>
    </row>
    <row r="34">
      <c r="A34" s="5" t="inlineStr">
        <is>
          <t>ΧΟΣΑΦΙ ΑΡΜΠΗ</t>
        </is>
      </c>
      <c r="B34" s="5" t="inlineStr">
        <is>
          <t>ΚΗΠΟΥΡΟΣ</t>
        </is>
      </c>
      <c r="C34" s="6" t="n">
        <v>1</v>
      </c>
      <c r="D34" s="5" t="n">
        <v>1</v>
      </c>
      <c r="E34" s="5" t="n">
        <v>1</v>
      </c>
      <c r="F34" s="5" t="n">
        <v>1</v>
      </c>
      <c r="G34" s="5" t="n">
        <v>1</v>
      </c>
      <c r="H34" s="5" t="n">
        <v>1</v>
      </c>
      <c r="I34" s="5" t="n">
        <v>1</v>
      </c>
      <c r="J34" s="5" t="n">
        <v>0</v>
      </c>
      <c r="K34" s="5" t="n">
        <v>0</v>
      </c>
      <c r="L34" s="5" t="n">
        <v>1</v>
      </c>
      <c r="M34" s="5" t="n">
        <v>4</v>
      </c>
      <c r="N34" s="5" t="n">
        <v>1</v>
      </c>
      <c r="O34" s="5" t="n">
        <v>7</v>
      </c>
      <c r="P34" t="inlineStr">
        <is>
          <t xml:space="preserve">ΌΧΙ ΜΛΣΝ ΕΣΤ ΚΑΘ </t>
        </is>
      </c>
    </row>
    <row r="35">
      <c r="A35" s="5" t="inlineStr">
        <is>
          <t>ΔΟΥΜΑΝΟΓΛΟΥ ΗΛΙΑΣ</t>
        </is>
      </c>
      <c r="B35" s="5" t="inlineStr">
        <is>
          <t>2ο-3ο ΓΡΑΦΕΙΟ</t>
        </is>
      </c>
      <c r="C35" s="6" t="n">
        <v>1</v>
      </c>
      <c r="D35" s="6" t="n">
        <v>1</v>
      </c>
      <c r="E35" s="6" t="n">
        <v>1</v>
      </c>
      <c r="F35" s="6" t="n">
        <v>1</v>
      </c>
      <c r="G35" s="6" t="n">
        <v>1</v>
      </c>
      <c r="H35" s="6" t="n">
        <v>1</v>
      </c>
      <c r="I35" s="6" t="n">
        <v>1</v>
      </c>
      <c r="J35" s="6" t="n">
        <v>0</v>
      </c>
      <c r="K35" s="6" t="n">
        <v>0</v>
      </c>
      <c r="L35" s="6" t="n">
        <v>1</v>
      </c>
      <c r="M35" s="6" t="n">
        <v>4</v>
      </c>
      <c r="N35" s="6" t="n">
        <v>1</v>
      </c>
      <c r="O35" s="5" t="n">
        <v>7</v>
      </c>
    </row>
    <row r="36">
      <c r="A36" s="5" t="inlineStr">
        <is>
          <t>ΣΠΥΡΟΠΟΥΛΟΣ ΔΙΟΝΥΣΙΟΣ</t>
        </is>
      </c>
      <c r="B36" s="5" t="inlineStr">
        <is>
          <t>2ο-3ο ΓΡΑΦΕΙΟ</t>
        </is>
      </c>
      <c r="C36" s="6" t="n">
        <v>1</v>
      </c>
      <c r="D36" s="5" t="n">
        <v>1</v>
      </c>
      <c r="E36" s="5" t="n">
        <v>1</v>
      </c>
      <c r="F36" s="5" t="n">
        <v>1</v>
      </c>
      <c r="G36" s="5" t="n">
        <v>1</v>
      </c>
      <c r="H36" s="5" t="n">
        <v>1</v>
      </c>
      <c r="I36" s="5" t="n">
        <v>1</v>
      </c>
      <c r="J36" s="5" t="n">
        <v>0</v>
      </c>
      <c r="K36" s="5" t="n">
        <v>0</v>
      </c>
      <c r="L36" s="5" t="n">
        <v>1</v>
      </c>
      <c r="M36" s="5" t="n">
        <v>4</v>
      </c>
      <c r="N36" s="5" t="n">
        <v>1</v>
      </c>
      <c r="O36" s="5" t="n">
        <v>7</v>
      </c>
      <c r="P36" s="4" t="n"/>
    </row>
    <row r="37">
      <c r="A37" s="5" t="inlineStr">
        <is>
          <t>ΣΤΑΜΟΥ ΙΩΑΝΝΗΣ</t>
        </is>
      </c>
      <c r="B37" s="5" t="inlineStr">
        <is>
          <t>ΕΤΥΠ/ΓΕΕΘΑ/2ο-3ο ΓΡΑΦΕΙΟ</t>
        </is>
      </c>
      <c r="C37" s="5" t="n">
        <v>1</v>
      </c>
      <c r="D37" s="6" t="n">
        <v>1</v>
      </c>
      <c r="E37" s="6" t="n">
        <v>1</v>
      </c>
      <c r="F37" s="6" t="n">
        <v>1</v>
      </c>
      <c r="G37" s="6" t="n">
        <v>1</v>
      </c>
      <c r="H37" s="6" t="n">
        <v>1</v>
      </c>
      <c r="I37" s="6" t="n">
        <v>1</v>
      </c>
      <c r="J37" s="6" t="n">
        <v>0</v>
      </c>
      <c r="K37" s="6" t="n">
        <v>0</v>
      </c>
      <c r="L37" s="6" t="n">
        <v>1</v>
      </c>
      <c r="M37" s="6" t="n">
        <v>4</v>
      </c>
      <c r="N37" s="6" t="n">
        <v>1</v>
      </c>
      <c r="O37" s="5" t="n">
        <v>7</v>
      </c>
    </row>
    <row r="38">
      <c r="A38" s="5" t="inlineStr">
        <is>
          <t>ΜΗΤΣΟΥ ΜΑΡΙΟΣ ΝΑΠΟΛΕΩΝ</t>
        </is>
      </c>
      <c r="B38" s="5" t="inlineStr">
        <is>
          <t>2ο-3ο ΓΡΑΦΕΙΟ</t>
        </is>
      </c>
      <c r="C38" s="5" t="n">
        <v>1</v>
      </c>
      <c r="D38" s="5" t="n">
        <v>1</v>
      </c>
      <c r="E38" s="5" t="n">
        <v>1</v>
      </c>
      <c r="F38" s="5" t="n">
        <v>1</v>
      </c>
      <c r="G38" s="5" t="n">
        <v>1</v>
      </c>
      <c r="H38" s="5" t="n">
        <v>1</v>
      </c>
      <c r="I38" s="5" t="n">
        <v>1</v>
      </c>
      <c r="J38" s="5" t="n">
        <v>0</v>
      </c>
      <c r="K38" s="5" t="n">
        <v>0</v>
      </c>
      <c r="L38" s="5" t="n">
        <v>1</v>
      </c>
      <c r="M38" s="5" t="n">
        <v>4</v>
      </c>
      <c r="N38" s="5" t="n">
        <v>1</v>
      </c>
      <c r="O38" s="5" t="n">
        <v>7</v>
      </c>
      <c r="P38" s="4" t="n"/>
    </row>
    <row r="39" ht="15.5" customHeight="1">
      <c r="A39" s="5" t="inlineStr">
        <is>
          <t>ΘΩΜΟΠΟΥΛΟΣ ΔΗΜΗΤΡΙΟΣ (ΜΟΝΟ ΚΑΘΗΜΕΡΙΝΕΣ, ΜΠΟΡΕΙ ΚΑΙ Χ2 ΤΗΝ ΒΔΟΜΑΔΑ)</t>
        </is>
      </c>
      <c r="B39" s="5" t="inlineStr">
        <is>
          <t xml:space="preserve">2ο-3ο ΓΡΑΦΕΙΟ </t>
        </is>
      </c>
      <c r="C39" s="5" t="n">
        <v>1</v>
      </c>
      <c r="D39" s="6" t="n">
        <v>1</v>
      </c>
      <c r="E39" s="6" t="n">
        <v>1</v>
      </c>
      <c r="F39" s="6" t="n">
        <v>1</v>
      </c>
      <c r="G39" s="6" t="n">
        <v>1</v>
      </c>
      <c r="H39" s="6" t="n">
        <v>1</v>
      </c>
      <c r="I39" s="6" t="n">
        <v>1</v>
      </c>
      <c r="J39" s="6" t="n">
        <v>0</v>
      </c>
      <c r="K39" s="6" t="n">
        <v>0</v>
      </c>
      <c r="L39" s="6" t="n">
        <v>1</v>
      </c>
      <c r="M39" s="6" t="n">
        <v>4</v>
      </c>
      <c r="N39" s="6" t="n">
        <v>1</v>
      </c>
      <c r="O39" s="5" t="n">
        <v>7</v>
      </c>
      <c r="Q39" t="inlineStr">
        <is>
          <t>ΔΕΥΤΕΡΑ,ΤΡΙΤΗ,ΤΕΤΑΡΤΗ,ΠΕΜΠΤΗ,ΠΑΡΑΣΚΕΥΗ</t>
        </is>
      </c>
    </row>
    <row r="40">
      <c r="A40" s="5" t="inlineStr">
        <is>
          <t>ΣΤΕΡΓΙΟΥ ΜΙΧΑΗΛ</t>
        </is>
      </c>
      <c r="B40" s="5" t="inlineStr">
        <is>
          <t>2ο-3ο ΓΡΑΦΕΙΟ</t>
        </is>
      </c>
      <c r="C40" s="5" t="n">
        <v>1</v>
      </c>
      <c r="D40" s="5" t="n">
        <v>1</v>
      </c>
      <c r="E40" s="5" t="n">
        <v>1</v>
      </c>
      <c r="F40" s="5" t="n">
        <v>1</v>
      </c>
      <c r="G40" s="5" t="n">
        <v>1</v>
      </c>
      <c r="H40" s="5" t="n">
        <v>1</v>
      </c>
      <c r="I40" s="5" t="n">
        <v>1</v>
      </c>
      <c r="J40" s="5" t="n">
        <v>0</v>
      </c>
      <c r="K40" s="5" t="n">
        <v>0</v>
      </c>
      <c r="L40" s="5" t="n">
        <v>1</v>
      </c>
      <c r="M40" s="5" t="n">
        <v>4</v>
      </c>
      <c r="N40" s="5" t="n">
        <v>1</v>
      </c>
      <c r="O40" s="5" t="n">
        <v>7</v>
      </c>
      <c r="P40" s="4" t="n"/>
    </row>
    <row r="41">
      <c r="A41" s="5" t="inlineStr">
        <is>
          <t>ΒΑΣΙΛΟΠΟΥΛΟΣ ΧΡΥΣΟΒΑΛΆΝΤΗΣ</t>
        </is>
      </c>
      <c r="B41" s="5" t="inlineStr">
        <is>
          <t>2ο-3ο ΓΡΑΦΕΙΟ</t>
        </is>
      </c>
      <c r="C41" s="5" t="n">
        <v>1</v>
      </c>
      <c r="D41" s="6" t="n">
        <v>1</v>
      </c>
      <c r="E41" s="6" t="n">
        <v>1</v>
      </c>
      <c r="F41" s="6" t="n">
        <v>1</v>
      </c>
      <c r="G41" s="6" t="n">
        <v>1</v>
      </c>
      <c r="H41" s="6" t="n">
        <v>1</v>
      </c>
      <c r="I41" s="6" t="n">
        <v>1</v>
      </c>
      <c r="J41" s="6" t="n">
        <v>0</v>
      </c>
      <c r="K41" s="6" t="n">
        <v>0</v>
      </c>
      <c r="L41" s="6" t="n">
        <v>1</v>
      </c>
      <c r="M41" s="6" t="n">
        <v>4</v>
      </c>
      <c r="N41" s="6" t="n">
        <v>1</v>
      </c>
      <c r="O41" s="5" t="n">
        <v>7</v>
      </c>
    </row>
    <row r="42" ht="15.5" customHeight="1">
      <c r="A42" s="5" t="inlineStr">
        <is>
          <t>ΚΑΠΕΤΑΝΟΥ ΑΛΕΞΑΝΔΡΟΣ (1 ΥΠ ΤΟΝ ΕΝΑ ΜΗΝΑ / 2 ΥΠ ΤΟΝ ΕΠΟΜΕΝΟ ΚΑΙ ΕΝΑΛΑΞ)</t>
        </is>
      </c>
      <c r="B42" s="5" t="inlineStr">
        <is>
          <t>4ο ΓΡΑΦΕΙΟ (ΣΥΝΕΝΟΗΣΗ ΤΗΛΕΦΩΝΙΚΑ)</t>
        </is>
      </c>
      <c r="C42" s="5" t="n">
        <v>1</v>
      </c>
      <c r="D42" s="5" t="n">
        <v>1</v>
      </c>
      <c r="E42" s="5" t="n">
        <v>1</v>
      </c>
      <c r="F42" s="5" t="n">
        <v>1</v>
      </c>
      <c r="G42" s="5" t="n">
        <v>1</v>
      </c>
      <c r="H42" s="5" t="n">
        <v>1</v>
      </c>
      <c r="I42" s="5" t="n">
        <v>0</v>
      </c>
      <c r="J42" s="5" t="n">
        <v>1</v>
      </c>
      <c r="K42" s="5" t="n">
        <v>1</v>
      </c>
      <c r="L42" s="5" t="n">
        <v>1</v>
      </c>
      <c r="M42" s="5" t="n">
        <v>4</v>
      </c>
      <c r="N42" s="5" t="n">
        <v>1</v>
      </c>
      <c r="O42" s="5" t="n">
        <v>7</v>
      </c>
      <c r="P42" s="4" t="n"/>
    </row>
    <row r="43" ht="15.5" customHeight="1">
      <c r="A43" s="5" t="inlineStr">
        <is>
          <t>ΧΑΤΖΗΓΕΩΡΓΙΟΥ ΔΗΜΗΤΡΙΟΣ</t>
        </is>
      </c>
      <c r="B43" s="5" t="inlineStr">
        <is>
          <t>4ο ΓΡΑΦΕΙΟ (ΒΑΥΔΜ ΕΣΤ)</t>
        </is>
      </c>
      <c r="C43" s="5" t="n">
        <v>0</v>
      </c>
      <c r="D43" s="6" t="n">
        <v>0</v>
      </c>
      <c r="E43" s="6" t="n">
        <v>1</v>
      </c>
      <c r="F43" s="6" t="n">
        <v>1</v>
      </c>
      <c r="G43" s="6" t="n">
        <v>0</v>
      </c>
      <c r="H43" s="6" t="n">
        <v>1</v>
      </c>
      <c r="I43" s="6" t="n">
        <v>1</v>
      </c>
      <c r="J43" s="6" t="n">
        <v>0</v>
      </c>
      <c r="K43" s="6" t="n">
        <v>0</v>
      </c>
      <c r="L43" s="6" t="n">
        <v>1</v>
      </c>
      <c r="M43" s="6" t="n">
        <v>4</v>
      </c>
      <c r="N43" s="6" t="n">
        <v>1</v>
      </c>
      <c r="O43" s="5" t="n">
        <v>7</v>
      </c>
    </row>
    <row r="44">
      <c r="A44" s="5" t="inlineStr">
        <is>
          <t>ΑΚΡΙΒΟΣ ΝΙΚΟΛΑΟΣ</t>
        </is>
      </c>
      <c r="B44" s="5" t="inlineStr">
        <is>
          <t>4ο ΓΡΑΦΕΙΟ</t>
        </is>
      </c>
      <c r="C44" s="5" t="n">
        <v>1</v>
      </c>
      <c r="D44" s="5" t="n">
        <v>1</v>
      </c>
      <c r="E44" s="5" t="n">
        <v>1</v>
      </c>
      <c r="F44" s="5" t="n">
        <v>1</v>
      </c>
      <c r="G44" s="5" t="n">
        <v>1</v>
      </c>
      <c r="H44" s="5" t="n">
        <v>1</v>
      </c>
      <c r="I44" s="5" t="n">
        <v>1</v>
      </c>
      <c r="J44" s="5" t="n">
        <v>0</v>
      </c>
      <c r="K44" s="5" t="n">
        <v>0</v>
      </c>
      <c r="L44" s="5" t="n">
        <v>1</v>
      </c>
      <c r="M44" s="5" t="n">
        <v>4</v>
      </c>
      <c r="N44" s="5" t="n">
        <v>1</v>
      </c>
      <c r="O44" s="5" t="n">
        <v>7</v>
      </c>
      <c r="P44" s="4" t="n"/>
    </row>
    <row r="45">
      <c r="A45" s="5" t="inlineStr">
        <is>
          <t>ΜΑΝΩΛΟΥΔΗΣ ΣΠΥΡΙΔΩΝ</t>
        </is>
      </c>
      <c r="B45" s="5" t="inlineStr">
        <is>
          <t>4ο ΓΡΑΦΕΙΟ</t>
        </is>
      </c>
      <c r="C45" s="6" t="n">
        <v>1</v>
      </c>
      <c r="D45" s="6" t="n">
        <v>1</v>
      </c>
      <c r="E45" s="6" t="n">
        <v>1</v>
      </c>
      <c r="F45" s="6" t="n">
        <v>1</v>
      </c>
      <c r="G45" s="6" t="n">
        <v>1</v>
      </c>
      <c r="H45" s="6" t="n">
        <v>1</v>
      </c>
      <c r="I45" s="6" t="n">
        <v>1</v>
      </c>
      <c r="J45" s="6" t="n">
        <v>0</v>
      </c>
      <c r="K45" s="6" t="n">
        <v>0</v>
      </c>
      <c r="L45" s="5" t="n">
        <v>1</v>
      </c>
      <c r="M45" s="6" t="n">
        <v>4</v>
      </c>
      <c r="N45" s="6" t="n">
        <v>1</v>
      </c>
      <c r="O45" s="5" t="n">
        <v>7</v>
      </c>
    </row>
    <row r="46" ht="15.5" customHeight="1">
      <c r="A46" s="5" t="inlineStr">
        <is>
          <t>ΝΑΥΤΗΣ ΑΝΑΣΤΑΣΙΟΣ (Ι4 ΒΑΥΔΜ)</t>
        </is>
      </c>
      <c r="B46" s="5" t="inlineStr">
        <is>
          <t>4ο ΓΡΑΦΕΙΟ</t>
        </is>
      </c>
      <c r="C46" s="5" t="n">
        <v>0</v>
      </c>
      <c r="D46" s="5" t="n">
        <v>0</v>
      </c>
      <c r="E46" s="5" t="n">
        <v>0</v>
      </c>
      <c r="F46" s="5" t="n">
        <v>1</v>
      </c>
      <c r="G46" s="5" t="n">
        <v>0</v>
      </c>
      <c r="H46" s="5" t="n">
        <v>1</v>
      </c>
      <c r="I46" s="5" t="n">
        <v>1</v>
      </c>
      <c r="J46" s="5" t="n">
        <v>0</v>
      </c>
      <c r="K46" s="5" t="n">
        <v>0</v>
      </c>
      <c r="L46" s="5" t="n">
        <v>1</v>
      </c>
      <c r="M46" s="5" t="n">
        <v>4</v>
      </c>
      <c r="N46" s="5" t="n">
        <v>1</v>
      </c>
      <c r="O46" s="5" t="n">
        <v>7</v>
      </c>
      <c r="P46" s="4" t="n"/>
    </row>
    <row r="47">
      <c r="A47" s="5" t="inlineStr">
        <is>
          <t>ΔΑΣΟΥΛΑΣ ΓΕΩΡΓΙΟΣ</t>
        </is>
      </c>
      <c r="B47" s="5" t="inlineStr">
        <is>
          <t>4ο ΓΡΑΦΕΙΟ (ΑΓΗΜΑ)</t>
        </is>
      </c>
      <c r="C47" s="6" t="n">
        <v>1</v>
      </c>
      <c r="D47" s="6" t="n">
        <v>1</v>
      </c>
      <c r="E47" s="6" t="n">
        <v>1</v>
      </c>
      <c r="F47" s="6" t="n">
        <v>1</v>
      </c>
      <c r="G47" s="6" t="n">
        <v>1</v>
      </c>
      <c r="H47" s="6" t="n">
        <v>1</v>
      </c>
      <c r="I47" s="6" t="n">
        <v>1</v>
      </c>
      <c r="J47" s="6" t="n">
        <v>0</v>
      </c>
      <c r="K47" s="6" t="n">
        <v>0</v>
      </c>
      <c r="L47" s="5" t="n">
        <v>1</v>
      </c>
      <c r="M47" s="6" t="n">
        <v>4</v>
      </c>
      <c r="N47" s="6" t="n">
        <v>1</v>
      </c>
      <c r="O47" s="5" t="n">
        <v>7</v>
      </c>
    </row>
    <row r="48" ht="15.5" customHeight="1">
      <c r="A48" s="5" t="inlineStr">
        <is>
          <t>ΠΑΣΤΡΑΣ ΑΓΓΕΛΟΣ (ΒΑΥΔΜ)</t>
        </is>
      </c>
      <c r="B48" s="5" t="inlineStr">
        <is>
          <t>ΤΔΥ</t>
        </is>
      </c>
      <c r="C48" s="5" t="n">
        <v>0</v>
      </c>
      <c r="D48" s="5" t="n">
        <v>0</v>
      </c>
      <c r="E48" s="5" t="n">
        <v>0</v>
      </c>
      <c r="F48" s="5" t="n">
        <v>1</v>
      </c>
      <c r="G48" s="5" t="n">
        <v>0</v>
      </c>
      <c r="H48" s="5" t="n">
        <v>1</v>
      </c>
      <c r="I48" s="5" t="n">
        <v>1</v>
      </c>
      <c r="J48" s="5" t="n">
        <v>0</v>
      </c>
      <c r="K48" s="5" t="n">
        <v>0</v>
      </c>
      <c r="L48" s="5" t="n">
        <v>1</v>
      </c>
      <c r="M48" s="5" t="n">
        <v>4</v>
      </c>
      <c r="N48" s="5" t="n">
        <v>1</v>
      </c>
      <c r="O48" s="5" t="n">
        <v>7</v>
      </c>
      <c r="P48" s="4" t="n"/>
    </row>
    <row r="49">
      <c r="A49" s="5" t="inlineStr">
        <is>
          <t>ΤΡΙΑΝΤΑΦΥΛΛΟΥ ΦΡΑΓΚΙΣΚΟΣ</t>
        </is>
      </c>
      <c r="B49" s="5" t="inlineStr">
        <is>
          <t>ΤΔΥ</t>
        </is>
      </c>
      <c r="C49" s="6" t="n">
        <v>1</v>
      </c>
      <c r="D49" s="6" t="n">
        <v>1</v>
      </c>
      <c r="E49" s="6" t="n">
        <v>1</v>
      </c>
      <c r="F49" s="6" t="n">
        <v>1</v>
      </c>
      <c r="G49" s="6" t="n">
        <v>1</v>
      </c>
      <c r="H49" s="6" t="n">
        <v>1</v>
      </c>
      <c r="I49" s="6" t="n">
        <v>1</v>
      </c>
      <c r="J49" s="6" t="n">
        <v>0</v>
      </c>
      <c r="K49" s="6" t="n">
        <v>0</v>
      </c>
      <c r="L49" s="5" t="n">
        <v>1</v>
      </c>
      <c r="M49" s="6" t="n">
        <v>4</v>
      </c>
      <c r="N49" s="6" t="n">
        <v>1</v>
      </c>
      <c r="O49" s="5" t="n">
        <v>7</v>
      </c>
    </row>
    <row r="50" ht="15.5" customHeight="1">
      <c r="A50" s="5" t="inlineStr">
        <is>
          <t>ΧΑΛΙΜΟΥΡΔΑΣ ΚΩΝΣΤΑΝΤΙΝΟΣ</t>
        </is>
      </c>
      <c r="B50" s="5" t="inlineStr">
        <is>
          <t>ΤΔΥ (ΣΥΝΕΝΟΗΣΗ ΓΙΑ 2 ΠΕΜΠΤΕΣ / ΜΗΝΑ 1 ΕΤΑΦ + 1 ΕΣΤ)</t>
        </is>
      </c>
      <c r="C50" s="5" t="n">
        <v>1</v>
      </c>
      <c r="D50" s="5" t="n">
        <v>1</v>
      </c>
      <c r="E50" s="5" t="n">
        <v>1</v>
      </c>
      <c r="F50" s="5" t="n">
        <v>1</v>
      </c>
      <c r="G50" s="5" t="n">
        <v>0</v>
      </c>
      <c r="H50" s="5" t="n">
        <v>0</v>
      </c>
      <c r="I50" s="5" t="n">
        <v>1</v>
      </c>
      <c r="J50" s="5" t="n">
        <v>0</v>
      </c>
      <c r="K50" s="5" t="n">
        <v>0</v>
      </c>
      <c r="L50" s="5" t="n">
        <v>1</v>
      </c>
      <c r="M50" s="5" t="n">
        <v>2</v>
      </c>
      <c r="N50" s="5" t="n">
        <v>0</v>
      </c>
      <c r="O50" s="5" t="n">
        <v>7</v>
      </c>
      <c r="P50" s="4" t="n"/>
      <c r="Q50" t="inlineStr">
        <is>
          <t>ΠΕΜΠΤΗ</t>
        </is>
      </c>
    </row>
    <row r="51" ht="15.5" customHeight="1">
      <c r="A51" s="5" t="inlineStr">
        <is>
          <t>ΠΑΠΑΓΕΩΡΓΙΟΥ ΛΟΥΚΑΣ ΑΛΕΞΑΝΔΡΟΣ 1-2 ΜΗΝΑ</t>
        </is>
      </c>
      <c r="B51" s="5" t="inlineStr">
        <is>
          <t xml:space="preserve">ΤΜΗΜΑ ΔΑΠΑΝΩΝ </t>
        </is>
      </c>
      <c r="C51" s="6" t="n">
        <v>1</v>
      </c>
      <c r="D51" s="6" t="n">
        <v>1</v>
      </c>
      <c r="E51" s="6" t="n">
        <v>1</v>
      </c>
      <c r="F51" s="6" t="n">
        <v>1</v>
      </c>
      <c r="G51" s="6" t="n">
        <v>0</v>
      </c>
      <c r="H51" s="6" t="n">
        <v>0</v>
      </c>
      <c r="I51" s="6" t="n">
        <v>1</v>
      </c>
      <c r="J51" s="6" t="n">
        <v>0</v>
      </c>
      <c r="K51" s="6" t="n">
        <v>0</v>
      </c>
      <c r="L51" s="6" t="n">
        <v>1</v>
      </c>
      <c r="M51" s="6" t="n">
        <v>2</v>
      </c>
      <c r="N51" s="6" t="n">
        <v>1</v>
      </c>
      <c r="O51" s="5" t="n">
        <v>7</v>
      </c>
    </row>
    <row r="52" ht="15.5" customHeight="1">
      <c r="A52" s="5" t="inlineStr">
        <is>
          <t>ΓΑΡΓΑΛΗΣ ΒΑΣΙΛΕΙΟΣ 1-2 ΜΗΝΑ</t>
        </is>
      </c>
      <c r="B52" s="5" t="inlineStr">
        <is>
          <t xml:space="preserve">ΤΜΗΜΑ ΔΑΠΑΝΩΝ </t>
        </is>
      </c>
      <c r="C52" s="5" t="n">
        <v>1</v>
      </c>
      <c r="D52" s="5" t="n">
        <v>1</v>
      </c>
      <c r="E52" s="5" t="n">
        <v>1</v>
      </c>
      <c r="F52" s="5" t="n">
        <v>1</v>
      </c>
      <c r="G52" s="5" t="n">
        <v>0</v>
      </c>
      <c r="H52" s="5" t="n">
        <v>0</v>
      </c>
      <c r="I52" s="5" t="n">
        <v>1</v>
      </c>
      <c r="J52" s="5" t="n">
        <v>0</v>
      </c>
      <c r="K52" s="5" t="n">
        <v>0</v>
      </c>
      <c r="L52" s="5" t="n">
        <v>1</v>
      </c>
      <c r="M52" s="5" t="n">
        <v>2</v>
      </c>
      <c r="N52" s="5" t="n">
        <v>1</v>
      </c>
      <c r="O52" s="5" t="n">
        <v>7</v>
      </c>
      <c r="P52" s="4" t="n"/>
    </row>
    <row r="53" ht="15.5" customHeight="1">
      <c r="A53" s="5" t="inlineStr">
        <is>
          <t>ΒΕΛΙΣΣΑΡΗΣ ΙΩΑΝΝΗΣ 1 ΥΠ ΤΟΝ ΜΗΝΑ (ΜΛΣΝ) (ΔΕΥΤΕΡΗ ΣΤΗΝ ΑΝΑΓΚΗ)</t>
        </is>
      </c>
      <c r="B53" s="5" t="inlineStr">
        <is>
          <t xml:space="preserve">ΤΜΗΜΑ ΔΑΠΑΝΩΝ </t>
        </is>
      </c>
      <c r="C53" s="5" t="n">
        <v>1</v>
      </c>
      <c r="D53" s="6" t="n">
        <v>0</v>
      </c>
      <c r="E53" s="6" t="n">
        <v>0</v>
      </c>
      <c r="F53" s="6" t="n">
        <v>0</v>
      </c>
      <c r="G53" s="6" t="n">
        <v>0</v>
      </c>
      <c r="H53" s="6" t="n">
        <v>0</v>
      </c>
      <c r="I53" s="6" t="n">
        <v>0</v>
      </c>
      <c r="J53" s="6" t="n">
        <v>1</v>
      </c>
      <c r="K53" s="6" t="n">
        <v>1</v>
      </c>
      <c r="L53" s="6" t="n">
        <v>1</v>
      </c>
      <c r="M53" s="6" t="n">
        <v>4</v>
      </c>
      <c r="N53" s="6" t="n">
        <v>1</v>
      </c>
      <c r="O53" s="5" t="n">
        <v>7</v>
      </c>
    </row>
    <row r="54" ht="15.5" customHeight="1">
      <c r="A54" s="5" t="inlineStr">
        <is>
          <t>ΒΕΪΟΓΛΑΝΗΣ ΙΩΑΝΝΗΣ (ΒΑΥΔΜ)</t>
        </is>
      </c>
      <c r="B54" s="5" t="inlineStr">
        <is>
          <t>ΤΜΗΜΑ ΠΟΛΙΤΙΚΟΥ ΠΡΟΣΩΠΙΚΟΥ</t>
        </is>
      </c>
      <c r="C54" s="5" t="n">
        <v>0</v>
      </c>
      <c r="D54" s="5" t="n">
        <v>0</v>
      </c>
      <c r="E54" s="5" t="n">
        <v>0</v>
      </c>
      <c r="F54" s="5" t="n">
        <v>1</v>
      </c>
      <c r="G54" s="5" t="n">
        <v>0</v>
      </c>
      <c r="H54" s="5" t="n">
        <v>1</v>
      </c>
      <c r="I54" s="5" t="n">
        <v>1</v>
      </c>
      <c r="J54" s="5" t="n">
        <v>0</v>
      </c>
      <c r="K54" s="5" t="n">
        <v>0</v>
      </c>
      <c r="L54" s="5" t="n">
        <v>1</v>
      </c>
      <c r="M54" s="5" t="n">
        <v>4</v>
      </c>
      <c r="N54" s="5" t="n">
        <v>1</v>
      </c>
      <c r="O54" s="5" t="n">
        <v>7</v>
      </c>
      <c r="P54" s="4" t="n"/>
    </row>
    <row r="55">
      <c r="A55" s="5" t="inlineStr">
        <is>
          <t>ΚΩΝΣΤΑΝΤΙΝΙΔΗΣ ΙΩΑΝΝΗΣ</t>
        </is>
      </c>
      <c r="B55" s="5" t="inlineStr">
        <is>
          <t>ΤΜΗΜΑ ΠΟΛΙΤΙΚΟΥ ΠΡΟΣΩΠΙΚΟΥ</t>
        </is>
      </c>
      <c r="C55" s="5" t="n">
        <v>1</v>
      </c>
      <c r="D55" s="6" t="n">
        <v>1</v>
      </c>
      <c r="E55" s="6" t="n">
        <v>1</v>
      </c>
      <c r="F55" s="6" t="n">
        <v>1</v>
      </c>
      <c r="G55" s="6" t="n">
        <v>1</v>
      </c>
      <c r="H55" s="6" t="n">
        <v>1</v>
      </c>
      <c r="I55" s="6" t="n">
        <v>1</v>
      </c>
      <c r="J55" s="6" t="n">
        <v>0</v>
      </c>
      <c r="K55" s="6" t="n">
        <v>0</v>
      </c>
      <c r="L55" s="6" t="n">
        <v>1</v>
      </c>
      <c r="M55" s="6" t="n">
        <v>4</v>
      </c>
      <c r="N55" s="6" t="n">
        <v>1</v>
      </c>
      <c r="O55" s="5" t="n">
        <v>7</v>
      </c>
    </row>
    <row r="56">
      <c r="A56" s="5" t="inlineStr">
        <is>
          <t>ΚΟΥΛΟΠΟΥΛΟΣ ΓΕΡΑΣΙΜΟΣ</t>
        </is>
      </c>
      <c r="B56" s="5" t="inlineStr">
        <is>
          <t>ΚΗΠΟΥΡΟΣ</t>
        </is>
      </c>
      <c r="C56" s="5" t="n">
        <v>0</v>
      </c>
      <c r="D56" s="5" t="n">
        <v>1</v>
      </c>
      <c r="E56" s="5" t="n">
        <v>1</v>
      </c>
      <c r="F56" s="5" t="n">
        <v>1</v>
      </c>
      <c r="G56" s="5" t="n">
        <v>1</v>
      </c>
      <c r="H56" s="5" t="n">
        <v>1</v>
      </c>
      <c r="I56" s="5" t="n">
        <v>1</v>
      </c>
      <c r="J56" s="5" t="n">
        <v>0</v>
      </c>
      <c r="K56" s="5" t="n">
        <v>0</v>
      </c>
      <c r="L56" s="5" t="n">
        <v>1</v>
      </c>
      <c r="M56" s="5" t="n">
        <v>4</v>
      </c>
      <c r="N56" s="5" t="n">
        <v>1</v>
      </c>
      <c r="O56" s="5" t="n">
        <v>7</v>
      </c>
      <c r="P56" t="inlineStr">
        <is>
          <t xml:space="preserve">ΌΧΙ ΜΛΣΝ ΕΣΤ ΚΑΘ </t>
        </is>
      </c>
    </row>
    <row r="57" ht="15.5" customHeight="1">
      <c r="A57" s="5" t="inlineStr">
        <is>
          <t>ΚΑΤΣΕΝΙΟΣ ΑΘΑΝ. 1 ΕΤΑΦ 3 ΒΑΥΔΜ</t>
        </is>
      </c>
      <c r="B57" s="5" t="inlineStr">
        <is>
          <t>(ΓΙΩΤΗΣ) ΜΟΝΟ ΒΑΥΔΜ ΚΑΙ ΕΤΑΦ</t>
        </is>
      </c>
      <c r="C57" s="5" t="n">
        <v>0</v>
      </c>
      <c r="D57" s="6" t="n">
        <v>1</v>
      </c>
      <c r="E57" s="6" t="n">
        <v>0</v>
      </c>
      <c r="F57" s="6" t="n">
        <v>1</v>
      </c>
      <c r="G57" s="6" t="n">
        <v>1</v>
      </c>
      <c r="H57" s="6" t="n">
        <v>1</v>
      </c>
      <c r="I57" s="6" t="n">
        <v>1</v>
      </c>
      <c r="J57" s="6" t="n">
        <v>0</v>
      </c>
      <c r="K57" s="6" t="n">
        <v>0</v>
      </c>
      <c r="L57" s="6" t="n">
        <v>1</v>
      </c>
      <c r="M57" s="6" t="n">
        <v>4</v>
      </c>
      <c r="N57" s="6" t="n">
        <v>1</v>
      </c>
      <c r="O57" s="5" t="n">
        <v>7</v>
      </c>
      <c r="S57" t="n">
        <v>1</v>
      </c>
      <c r="U57" t="n">
        <v>3</v>
      </c>
    </row>
    <row r="58">
      <c r="A58" s="5" t="inlineStr">
        <is>
          <t>ΓΙΑΝΝΟΓΛΟΥ ΠΑΡΘΕΝΙΟΣ ΑΓΓΕΛΟΣ</t>
        </is>
      </c>
      <c r="B58" s="5" t="inlineStr">
        <is>
          <t>ΚΗΠΟΥΡΟΣ</t>
        </is>
      </c>
      <c r="C58" s="5" t="n">
        <v>1</v>
      </c>
      <c r="D58" s="5" t="n">
        <v>1</v>
      </c>
      <c r="E58" s="5" t="n">
        <v>1</v>
      </c>
      <c r="F58" s="5" t="n">
        <v>1</v>
      </c>
      <c r="G58" s="5" t="n">
        <v>1</v>
      </c>
      <c r="H58" s="5" t="n">
        <v>1</v>
      </c>
      <c r="I58" s="5" t="n">
        <v>1</v>
      </c>
      <c r="J58" s="5" t="n">
        <v>0</v>
      </c>
      <c r="K58" s="5" t="n">
        <v>0</v>
      </c>
      <c r="L58" s="5" t="n">
        <v>1</v>
      </c>
      <c r="M58" s="5" t="n">
        <v>4</v>
      </c>
      <c r="N58" s="5" t="n">
        <v>1</v>
      </c>
      <c r="O58" s="5" t="n">
        <v>7</v>
      </c>
      <c r="P58" t="inlineStr">
        <is>
          <t xml:space="preserve">ΌΧΙ ΜΛΣΝ ΕΣΤ ΚΑΘ </t>
        </is>
      </c>
    </row>
    <row r="59">
      <c r="A59" s="5" t="inlineStr">
        <is>
          <t>ΑΛΕΞΑΝΔΡΙΔΗΣ ΣΤΑΥΡΟΣ</t>
        </is>
      </c>
      <c r="B59" s="5" t="inlineStr">
        <is>
          <t>ΚΗΠΟΥΡΟΣ</t>
        </is>
      </c>
      <c r="C59" s="5" t="n">
        <v>1</v>
      </c>
      <c r="D59" s="6" t="n">
        <v>1</v>
      </c>
      <c r="E59" s="6" t="n">
        <v>1</v>
      </c>
      <c r="F59" s="6" t="n">
        <v>1</v>
      </c>
      <c r="G59" s="6" t="n">
        <v>1</v>
      </c>
      <c r="H59" s="6" t="n">
        <v>1</v>
      </c>
      <c r="I59" s="6" t="n">
        <v>1</v>
      </c>
      <c r="J59" s="6" t="n">
        <v>0</v>
      </c>
      <c r="K59" s="6" t="n">
        <v>0</v>
      </c>
      <c r="L59" s="6" t="n">
        <v>1</v>
      </c>
      <c r="M59" s="6" t="n">
        <v>4</v>
      </c>
      <c r="N59" s="6" t="n">
        <v>1</v>
      </c>
      <c r="O59" s="5" t="n">
        <v>7</v>
      </c>
      <c r="P59" t="inlineStr">
        <is>
          <t xml:space="preserve">ΌΧΙ ΜΛΣΝ ΕΣΤ ΚΑΘ </t>
        </is>
      </c>
    </row>
    <row r="60" ht="15.5" customHeight="1">
      <c r="A60" s="5" t="inlineStr">
        <is>
          <t>ΚΑΚΟΥΡΑΣ ΓΕΩΡΓΙΟΣ</t>
        </is>
      </c>
      <c r="B60" s="5" t="inlineStr">
        <is>
          <t xml:space="preserve">ΓΔΥ (ΚΩΣΤΟΥΛΑ) </t>
        </is>
      </c>
      <c r="C60" s="5" t="n">
        <v>0</v>
      </c>
      <c r="D60" s="5" t="n">
        <v>1</v>
      </c>
      <c r="E60" s="5" t="n">
        <v>1</v>
      </c>
      <c r="F60" s="5" t="n">
        <v>1</v>
      </c>
      <c r="G60" s="5" t="n">
        <v>1</v>
      </c>
      <c r="H60" s="5" t="n">
        <v>1</v>
      </c>
      <c r="I60" s="5" t="n">
        <v>1</v>
      </c>
      <c r="J60" s="5" t="n">
        <v>0</v>
      </c>
      <c r="K60" s="5" t="n">
        <v>0</v>
      </c>
      <c r="L60" s="5" t="n">
        <v>1</v>
      </c>
      <c r="M60" s="5" t="n">
        <v>4</v>
      </c>
      <c r="N60" s="5" t="n">
        <v>1</v>
      </c>
      <c r="O60" s="5" t="n">
        <v>7</v>
      </c>
      <c r="P60" s="4" t="n"/>
    </row>
    <row r="61">
      <c r="A61" s="5" t="inlineStr">
        <is>
          <t>ΚΑΒΟΥΡΑΣ ΣΤΑΜΑΤΗΣ</t>
        </is>
      </c>
      <c r="B61" s="5" t="inlineStr">
        <is>
          <t>ΓΔΥ (ΚΩΣΤΟΥΛΑ)</t>
        </is>
      </c>
      <c r="C61" s="5" t="n">
        <v>0</v>
      </c>
      <c r="D61" s="6" t="n">
        <v>1</v>
      </c>
      <c r="E61" s="6" t="n">
        <v>1</v>
      </c>
      <c r="F61" s="6" t="n">
        <v>1</v>
      </c>
      <c r="G61" s="6" t="n">
        <v>1</v>
      </c>
      <c r="H61" s="6" t="n">
        <v>1</v>
      </c>
      <c r="I61" s="6" t="n">
        <v>1</v>
      </c>
      <c r="J61" s="6" t="n">
        <v>0</v>
      </c>
      <c r="K61" s="6" t="n">
        <v>0</v>
      </c>
      <c r="L61" s="6" t="n">
        <v>1</v>
      </c>
      <c r="M61" s="6" t="n">
        <v>4</v>
      </c>
      <c r="N61" s="6" t="n">
        <v>1</v>
      </c>
      <c r="O61" s="5" t="n">
        <v>7</v>
      </c>
    </row>
    <row r="62">
      <c r="A62" s="10" t="inlineStr">
        <is>
          <t>ΛΙΑΠΗΣ ΘΕΟΔΩΡΟΣ (ΑΝΑΡΡΩΤΙΚΗ)</t>
        </is>
      </c>
      <c r="B62" s="5" t="inlineStr">
        <is>
          <t>ΓΔΥ (ΚΩΣΤΟΥΛΑ)</t>
        </is>
      </c>
      <c r="C62" s="5" t="n">
        <v>0</v>
      </c>
      <c r="D62" s="5" t="n">
        <v>1</v>
      </c>
      <c r="E62" s="5" t="n">
        <v>1</v>
      </c>
      <c r="F62" s="5" t="n">
        <v>1</v>
      </c>
      <c r="G62" s="5" t="n">
        <v>1</v>
      </c>
      <c r="H62" s="5" t="n">
        <v>1</v>
      </c>
      <c r="I62" s="5" t="n">
        <v>1</v>
      </c>
      <c r="J62" s="5" t="n">
        <v>0</v>
      </c>
      <c r="K62" s="5" t="n">
        <v>0</v>
      </c>
      <c r="L62" s="5" t="n">
        <v>0</v>
      </c>
      <c r="M62" s="5" t="n">
        <v>4</v>
      </c>
      <c r="N62" s="5" t="n">
        <v>1</v>
      </c>
      <c r="O62" s="5" t="n">
        <v>7</v>
      </c>
      <c r="P62" s="4" t="n"/>
    </row>
    <row r="63">
      <c r="A63" s="5" t="inlineStr">
        <is>
          <t>ΜΑΣΟΥΡΗΣ ΚΩΝΣΤΑΝΤΙΝΟΣ</t>
        </is>
      </c>
      <c r="B63" s="5" t="inlineStr">
        <is>
          <t>ΓΔΥ (ΚΩΣΤΟΥΛΑ)</t>
        </is>
      </c>
      <c r="C63" s="5" t="n">
        <v>0</v>
      </c>
      <c r="D63" s="6" t="n">
        <v>1</v>
      </c>
      <c r="E63" s="6" t="n">
        <v>1</v>
      </c>
      <c r="F63" s="6" t="n">
        <v>1</v>
      </c>
      <c r="G63" s="6" t="n">
        <v>1</v>
      </c>
      <c r="H63" s="6" t="n">
        <v>1</v>
      </c>
      <c r="I63" s="6" t="n">
        <v>1</v>
      </c>
      <c r="J63" s="6" t="n">
        <v>0</v>
      </c>
      <c r="K63" s="6" t="n">
        <v>0</v>
      </c>
      <c r="L63" s="6" t="n">
        <v>1</v>
      </c>
      <c r="M63" s="6" t="n">
        <v>4</v>
      </c>
      <c r="N63" s="6" t="n">
        <v>1</v>
      </c>
      <c r="O63" s="5" t="n">
        <v>7</v>
      </c>
    </row>
    <row r="64" ht="15.5" customHeight="1">
      <c r="A64" s="5" t="inlineStr">
        <is>
          <t>ΓΚΙΟΝΑΙ ΟΡΕΣΤΗ</t>
        </is>
      </c>
      <c r="B64" s="5" t="inlineStr">
        <is>
          <t>ΓΔΥ (ΚΩΣΤΟΥΛΑ) (ΜΟΝΟ 1 ΣΑΒ +  1 ΚΥΡ / ΜΗΝΑ) ΚΑΙ ΑΝ ΧΡΕΙΑΣΤΕΙ ΚΙ ΑΛΛΗ ΒΛΕΠΟΥΜΕ</t>
        </is>
      </c>
      <c r="C64" s="5" t="n">
        <v>1</v>
      </c>
      <c r="D64" s="5" t="n">
        <v>1</v>
      </c>
      <c r="E64" s="5" t="n">
        <v>1</v>
      </c>
      <c r="F64" s="5" t="n">
        <v>1</v>
      </c>
      <c r="G64" s="5" t="n">
        <v>1</v>
      </c>
      <c r="H64" s="5" t="n">
        <v>1</v>
      </c>
      <c r="I64" s="5" t="n">
        <v>0</v>
      </c>
      <c r="J64" s="5" t="n">
        <v>0</v>
      </c>
      <c r="K64" s="5" t="n">
        <v>1</v>
      </c>
      <c r="L64" s="5" t="n">
        <v>1</v>
      </c>
      <c r="M64" s="5" t="n">
        <v>2</v>
      </c>
      <c r="N64" s="5" t="n">
        <v>1</v>
      </c>
      <c r="O64" s="5" t="n">
        <v>7</v>
      </c>
      <c r="P64" s="4" t="n"/>
    </row>
    <row r="65">
      <c r="A65" s="5" t="inlineStr">
        <is>
          <t>ΤΣΟΡΩΤΑΣ ΧΑΡΑΛΑΜΠΟΣ (Ι3 ΑΟΠΛΟ)</t>
        </is>
      </c>
      <c r="B65" s="5" t="inlineStr">
        <is>
          <t>ΓΔΥ (ΚΩΣΤΟΥΛΑ)</t>
        </is>
      </c>
      <c r="C65" s="5" t="n">
        <v>0</v>
      </c>
      <c r="D65" s="6" t="n">
        <v>0</v>
      </c>
      <c r="E65" s="6" t="n">
        <v>1</v>
      </c>
      <c r="F65" s="6" t="n">
        <v>1</v>
      </c>
      <c r="G65" s="6" t="n">
        <v>0</v>
      </c>
      <c r="H65" s="6" t="n">
        <v>1</v>
      </c>
      <c r="I65" s="6" t="n">
        <v>1</v>
      </c>
      <c r="J65" s="6" t="n">
        <v>0</v>
      </c>
      <c r="K65" s="6" t="n">
        <v>0</v>
      </c>
      <c r="L65" s="6" t="n">
        <v>1</v>
      </c>
      <c r="M65" s="6" t="n">
        <v>4</v>
      </c>
      <c r="N65" s="6" t="n">
        <v>1</v>
      </c>
      <c r="O65" s="5" t="n">
        <v>7</v>
      </c>
    </row>
    <row r="66" ht="15.5" customHeight="1">
      <c r="A66" s="5" t="inlineStr">
        <is>
          <t>ΔΑΡΜΑΡΑΚΗΣ ΠΑΝΑΓΙΩΤΗΣ (ΜΟΝΟ ΚΑΘΗΜ)</t>
        </is>
      </c>
      <c r="B66" s="5" t="inlineStr">
        <is>
          <t>ΓΡΑΜΜΑΤΕΙΑ (1 ΥΠ)</t>
        </is>
      </c>
      <c r="C66" s="5" t="n">
        <v>1</v>
      </c>
      <c r="D66" s="5" t="n">
        <v>1</v>
      </c>
      <c r="E66" s="5" t="n">
        <v>1</v>
      </c>
      <c r="F66" s="5" t="n">
        <v>1</v>
      </c>
      <c r="G66" s="6" t="n">
        <v>0</v>
      </c>
      <c r="H66" s="6" t="n">
        <v>0</v>
      </c>
      <c r="I66" s="5" t="n">
        <v>0</v>
      </c>
      <c r="J66" s="5" t="n">
        <v>1</v>
      </c>
      <c r="K66" s="5" t="n">
        <v>0</v>
      </c>
      <c r="L66" s="5" t="n">
        <v>1</v>
      </c>
      <c r="M66" s="5" t="n">
        <v>4</v>
      </c>
      <c r="N66" s="5" t="n">
        <v>0</v>
      </c>
      <c r="O66" s="5" t="n">
        <v>7</v>
      </c>
      <c r="P66" s="4" t="n"/>
    </row>
    <row r="67" ht="15.5" customHeight="1">
      <c r="A67" s="5" t="inlineStr">
        <is>
          <t>ΚΤΕΝΑΣ ΘΩΜΑΣ (ΜΟΝΟ ΚΑΘΗΜ)</t>
        </is>
      </c>
      <c r="B67" s="5" t="inlineStr">
        <is>
          <t>ΓΡΑΜΜΑΤΕΙΑ (1 ΥΠ)</t>
        </is>
      </c>
      <c r="C67" s="5" t="n">
        <v>1</v>
      </c>
      <c r="D67" s="6" t="n">
        <v>1</v>
      </c>
      <c r="E67" s="6" t="n">
        <v>1</v>
      </c>
      <c r="F67" s="6" t="n">
        <v>1</v>
      </c>
      <c r="G67" s="6" t="n">
        <v>0</v>
      </c>
      <c r="H67" s="6" t="n">
        <v>0</v>
      </c>
      <c r="I67" s="6" t="n">
        <v>0</v>
      </c>
      <c r="J67" s="6" t="n">
        <v>1</v>
      </c>
      <c r="K67" s="6" t="n">
        <v>0</v>
      </c>
      <c r="L67" s="6" t="n">
        <v>1</v>
      </c>
      <c r="M67" s="6" t="n">
        <v>1</v>
      </c>
      <c r="N67" s="6" t="n">
        <v>0</v>
      </c>
      <c r="O67" s="5" t="n">
        <v>7</v>
      </c>
    </row>
    <row r="68">
      <c r="A68" s="5" t="inlineStr">
        <is>
          <t>ΑΠΟΣΤΟΛΟΥ ΚΩΝΣΤΑΝΤΙΝΟΣ</t>
        </is>
      </c>
      <c r="B68" s="5" t="inlineStr">
        <is>
          <t>ΓΡΑΜΜΑΤΕΙΑ</t>
        </is>
      </c>
      <c r="C68" s="5" t="n">
        <v>1</v>
      </c>
      <c r="D68" s="5" t="n">
        <v>1</v>
      </c>
      <c r="E68" s="5" t="n">
        <v>1</v>
      </c>
      <c r="F68" s="5" t="n">
        <v>1</v>
      </c>
      <c r="G68" s="5" t="n">
        <v>1</v>
      </c>
      <c r="H68" s="5" t="n">
        <v>1</v>
      </c>
      <c r="I68" s="5" t="n">
        <v>1</v>
      </c>
      <c r="J68" s="5" t="n">
        <v>0</v>
      </c>
      <c r="K68" s="5" t="n">
        <v>0</v>
      </c>
      <c r="L68" s="5" t="n">
        <v>1</v>
      </c>
      <c r="M68" s="5" t="n">
        <v>4</v>
      </c>
      <c r="N68" s="5" t="n">
        <v>1</v>
      </c>
      <c r="O68" s="5" t="n">
        <v>7</v>
      </c>
      <c r="P68" s="4" t="n"/>
    </row>
    <row r="69">
      <c r="A69" s="5" t="inlineStr">
        <is>
          <t>ΕΛΕΥΘΕΡΙΟΥ ΑΝΤΩΝΙΟΣ</t>
        </is>
      </c>
      <c r="B69" s="5" t="inlineStr">
        <is>
          <t>ΓΡΑΜΜΑΤΕΙΑ</t>
        </is>
      </c>
      <c r="C69" s="5" t="n">
        <v>1</v>
      </c>
      <c r="D69" s="6" t="n">
        <v>1</v>
      </c>
      <c r="E69" s="6" t="n">
        <v>1</v>
      </c>
      <c r="F69" s="6" t="n">
        <v>1</v>
      </c>
      <c r="G69" s="6" t="n">
        <v>1</v>
      </c>
      <c r="H69" s="6" t="n">
        <v>1</v>
      </c>
      <c r="I69" s="6" t="n">
        <v>1</v>
      </c>
      <c r="J69" s="6" t="n">
        <v>0</v>
      </c>
      <c r="K69" s="6" t="n">
        <v>0</v>
      </c>
      <c r="L69" s="6" t="n">
        <v>1</v>
      </c>
      <c r="M69" s="6" t="n">
        <v>4</v>
      </c>
      <c r="N69" s="6" t="n">
        <v>1</v>
      </c>
      <c r="O69" s="5" t="n">
        <v>7</v>
      </c>
    </row>
    <row r="70" ht="15.5" customHeight="1">
      <c r="A70" s="10" t="inlineStr">
        <is>
          <t>ΠΕΡΡΑΚΗΣ ΦΑΙΔΩΝ ΑΘΑΝΑΣΙΟΣ (ΑΝΑΡΩΤΙΚΗ)</t>
        </is>
      </c>
      <c r="B70" s="5" t="inlineStr">
        <is>
          <t>ΓΔΥ (ΚΑΤΣΑΟΥΝΗΣ)</t>
        </is>
      </c>
      <c r="C70" s="5" t="n">
        <v>0</v>
      </c>
      <c r="D70" s="5" t="n">
        <v>1</v>
      </c>
      <c r="E70" s="5" t="n">
        <v>1</v>
      </c>
      <c r="F70" s="5" t="n">
        <v>1</v>
      </c>
      <c r="G70" s="5" t="n">
        <v>1</v>
      </c>
      <c r="H70" s="5" t="n">
        <v>1</v>
      </c>
      <c r="I70" s="5" t="n">
        <v>1</v>
      </c>
      <c r="J70" s="5" t="n">
        <v>0</v>
      </c>
      <c r="K70" s="5" t="n">
        <v>0</v>
      </c>
      <c r="L70" s="5" t="n">
        <v>0</v>
      </c>
      <c r="M70" s="5" t="n">
        <v>4</v>
      </c>
      <c r="N70" s="5" t="n">
        <v>1</v>
      </c>
      <c r="O70" s="5" t="n">
        <v>7</v>
      </c>
      <c r="P70" s="4" t="n"/>
    </row>
    <row r="71">
      <c r="A71" s="27" t="inlineStr">
        <is>
          <t>ΦΟΥΝΤΟΡΑΔΑΚΗΣ ΙΩΣΗΦ (ΠΡΟΤΙΜΗΣΗ ΠΑΡΑΣΚΕΥΗ)</t>
        </is>
      </c>
      <c r="B71" s="5" t="inlineStr">
        <is>
          <t>ΓΔΥ (ΚΑΤΣΑΟΥΝΗΣ)</t>
        </is>
      </c>
      <c r="C71" s="5" t="n">
        <v>1</v>
      </c>
      <c r="D71" s="6" t="n">
        <v>1</v>
      </c>
      <c r="E71" s="6" t="n">
        <v>1</v>
      </c>
      <c r="F71" s="6" t="n">
        <v>1</v>
      </c>
      <c r="G71" s="6" t="n">
        <v>1</v>
      </c>
      <c r="H71" s="6" t="n">
        <v>1</v>
      </c>
      <c r="I71" s="6" t="n">
        <v>1</v>
      </c>
      <c r="J71" s="6" t="n">
        <v>0</v>
      </c>
      <c r="K71" s="6" t="n">
        <v>0</v>
      </c>
      <c r="L71" s="6" t="n">
        <v>1</v>
      </c>
      <c r="M71" s="6" t="n">
        <v>4</v>
      </c>
      <c r="N71" s="6" t="n">
        <v>1</v>
      </c>
      <c r="O71" s="5" t="n">
        <v>7</v>
      </c>
      <c r="Q71" t="inlineStr">
        <is>
          <t>ΠΑΡΑΣΚΕΥΗ</t>
        </is>
      </c>
    </row>
    <row r="72">
      <c r="A72" s="27" t="inlineStr">
        <is>
          <t>ΧΙΟΝΑΣ ΔΗΜΗΤΡΙΟΣ</t>
        </is>
      </c>
      <c r="B72" s="5" t="inlineStr">
        <is>
          <t>ΓΔΥ (ΚΑΤΣΑΟΥΝΗΣ)</t>
        </is>
      </c>
      <c r="C72" s="5" t="n">
        <v>1</v>
      </c>
      <c r="D72" s="5" t="n">
        <v>1</v>
      </c>
      <c r="E72" s="5" t="n">
        <v>1</v>
      </c>
      <c r="F72" s="5" t="n">
        <v>1</v>
      </c>
      <c r="G72" s="5" t="n">
        <v>1</v>
      </c>
      <c r="H72" s="5" t="n">
        <v>1</v>
      </c>
      <c r="I72" s="5" t="n">
        <v>1</v>
      </c>
      <c r="J72" s="5" t="n">
        <v>0</v>
      </c>
      <c r="K72" s="5" t="n">
        <v>0</v>
      </c>
      <c r="L72" s="5" t="n">
        <v>1</v>
      </c>
      <c r="M72" s="5" t="n">
        <v>4</v>
      </c>
      <c r="N72" s="5" t="n">
        <v>1</v>
      </c>
      <c r="O72" s="5" t="n">
        <v>7</v>
      </c>
      <c r="P72" s="4" t="n"/>
    </row>
    <row r="73">
      <c r="A73" s="27" t="inlineStr">
        <is>
          <t>ΠΑΠΠΑΣ ΕΛΕΥΘΕΡΙΟΣ</t>
        </is>
      </c>
      <c r="B73" s="5" t="inlineStr">
        <is>
          <t>ΕΤΥΠ/ΓΕΕΘΑ/ΓΔΥ (ΚΑΤΣΑΟΥΝΗΣ)</t>
        </is>
      </c>
      <c r="C73" s="5" t="n">
        <v>1</v>
      </c>
      <c r="D73" s="6" t="n">
        <v>1</v>
      </c>
      <c r="E73" s="6" t="n">
        <v>1</v>
      </c>
      <c r="F73" s="6" t="n">
        <v>1</v>
      </c>
      <c r="G73" s="6" t="n">
        <v>1</v>
      </c>
      <c r="H73" s="6" t="n">
        <v>1</v>
      </c>
      <c r="I73" s="6" t="n">
        <v>1</v>
      </c>
      <c r="J73" s="6" t="n">
        <v>0</v>
      </c>
      <c r="K73" s="6" t="n">
        <v>0</v>
      </c>
      <c r="L73" s="6" t="n">
        <v>1</v>
      </c>
      <c r="M73" s="6" t="n">
        <v>4</v>
      </c>
      <c r="N73" s="6" t="n">
        <v>1</v>
      </c>
      <c r="O73" s="5" t="n">
        <v>7</v>
      </c>
    </row>
    <row r="74">
      <c r="A74" s="27" t="inlineStr">
        <is>
          <t>ΠΛΕΜΜΕΝΟΣ ΠΡΟΔΡΟΜΟΣ</t>
        </is>
      </c>
      <c r="B74" s="5" t="inlineStr">
        <is>
          <t>ΕΤΥΠ/ΓΕΕΘΑ/ΓΔΥ (ΚΑΤΣΑΟΥΝΗΣ)</t>
        </is>
      </c>
      <c r="C74" s="5" t="n">
        <v>1</v>
      </c>
      <c r="D74" s="5" t="n">
        <v>1</v>
      </c>
      <c r="E74" s="5" t="n">
        <v>1</v>
      </c>
      <c r="F74" s="5" t="n">
        <v>1</v>
      </c>
      <c r="G74" s="5" t="n">
        <v>1</v>
      </c>
      <c r="H74" s="5" t="n">
        <v>1</v>
      </c>
      <c r="I74" s="5" t="n">
        <v>1</v>
      </c>
      <c r="J74" s="5" t="n">
        <v>0</v>
      </c>
      <c r="K74" s="5" t="n">
        <v>0</v>
      </c>
      <c r="L74" s="5" t="n">
        <v>1</v>
      </c>
      <c r="M74" s="5" t="n">
        <v>4</v>
      </c>
      <c r="N74" s="5" t="n">
        <v>1</v>
      </c>
      <c r="O74" s="5" t="n">
        <v>7</v>
      </c>
      <c r="P74" s="4" t="n"/>
    </row>
    <row r="75">
      <c r="A75" s="27" t="inlineStr">
        <is>
          <t>ΤΖΙΩΤΑΚΗΣ ΓΕΩΡΓΙΟΣ</t>
        </is>
      </c>
      <c r="B75" s="5" t="inlineStr">
        <is>
          <t>ΕΤΥΠ/ΓΕΕΘΑ/ΓΔΥ (ΚΑΤΣΑΟΥΝΗΣ)</t>
        </is>
      </c>
      <c r="C75" s="5" t="n">
        <v>1</v>
      </c>
      <c r="D75" s="6" t="n">
        <v>1</v>
      </c>
      <c r="E75" s="6" t="n">
        <v>1</v>
      </c>
      <c r="F75" s="6" t="n">
        <v>1</v>
      </c>
      <c r="G75" s="6" t="n">
        <v>1</v>
      </c>
      <c r="H75" s="6" t="n">
        <v>1</v>
      </c>
      <c r="I75" s="6" t="n">
        <v>1</v>
      </c>
      <c r="J75" s="6" t="n">
        <v>0</v>
      </c>
      <c r="K75" s="6" t="n">
        <v>0</v>
      </c>
      <c r="L75" s="6" t="n">
        <v>1</v>
      </c>
      <c r="M75" s="6" t="n">
        <v>4</v>
      </c>
      <c r="N75" s="6" t="n">
        <v>1</v>
      </c>
      <c r="O75" s="5" t="n">
        <v>7</v>
      </c>
    </row>
    <row r="76">
      <c r="A76" s="27" t="inlineStr">
        <is>
          <t>ΚΥΡΙΑΚΙΔΗΣ ΧΡΗΣΤΟΣ</t>
        </is>
      </c>
      <c r="B76" s="5" t="inlineStr">
        <is>
          <t>ΓΔΥ (ΚΑΤΣΑΟΥΝΗΣ)</t>
        </is>
      </c>
      <c r="C76" s="5" t="n">
        <v>1</v>
      </c>
      <c r="D76" s="5" t="n">
        <v>1</v>
      </c>
      <c r="E76" s="5" t="n">
        <v>1</v>
      </c>
      <c r="F76" s="5" t="n">
        <v>1</v>
      </c>
      <c r="G76" s="5" t="n">
        <v>1</v>
      </c>
      <c r="H76" s="5" t="n">
        <v>1</v>
      </c>
      <c r="I76" s="5" t="n">
        <v>1</v>
      </c>
      <c r="J76" s="5" t="n">
        <v>0</v>
      </c>
      <c r="K76" s="5" t="n">
        <v>0</v>
      </c>
      <c r="L76" s="5" t="n">
        <v>1</v>
      </c>
      <c r="M76" s="5" t="n">
        <v>4</v>
      </c>
      <c r="N76" s="5" t="n">
        <v>1</v>
      </c>
      <c r="O76" s="5" t="n">
        <v>7</v>
      </c>
      <c r="P76" s="4" t="n"/>
    </row>
    <row r="77" ht="15.5" customHeight="1">
      <c r="A77" s="27" t="inlineStr">
        <is>
          <t>ΚΟΥΤΣΟΣ ΑΘΑΝΑΣΙΟΣ</t>
        </is>
      </c>
      <c r="B77" s="5" t="inlineStr">
        <is>
          <t>Γ. ΓΡΑΜΜΑΤΕΙΑ (ΒΑΥΔΜ)</t>
        </is>
      </c>
      <c r="C77" s="5" t="n">
        <v>0</v>
      </c>
      <c r="D77" s="6" t="n">
        <v>0</v>
      </c>
      <c r="E77" s="6" t="n">
        <v>0</v>
      </c>
      <c r="F77" s="6" t="n">
        <v>1</v>
      </c>
      <c r="G77" s="6" t="n">
        <v>1</v>
      </c>
      <c r="H77" s="6" t="n">
        <v>1</v>
      </c>
      <c r="I77" s="6" t="n">
        <v>0</v>
      </c>
      <c r="J77" s="6" t="n">
        <v>1</v>
      </c>
      <c r="K77" s="6" t="n">
        <v>0</v>
      </c>
      <c r="L77" s="6" t="n">
        <v>1</v>
      </c>
      <c r="M77" s="6" t="n">
        <v>4</v>
      </c>
      <c r="N77" s="6" t="n">
        <v>1</v>
      </c>
      <c r="O77" s="5" t="n">
        <v>7</v>
      </c>
    </row>
    <row r="78">
      <c r="A78" s="27" t="inlineStr">
        <is>
          <t>ΒΟΛΤΥΡΑΚΗΣ ΧΡΗΣΤΟΣ (MONO ΒΑΥΔΜ)</t>
        </is>
      </c>
      <c r="B78" s="5" t="inlineStr">
        <is>
          <t>Γ. ΓΡΑΜΜΑΤΕΙΑ (1 ΥΠ)</t>
        </is>
      </c>
      <c r="C78" s="6" t="n">
        <v>0</v>
      </c>
      <c r="D78" s="5" t="n">
        <v>0</v>
      </c>
      <c r="E78" s="5" t="n">
        <v>0</v>
      </c>
      <c r="F78" s="5" t="n">
        <v>1</v>
      </c>
      <c r="G78" s="5" t="n">
        <v>0</v>
      </c>
      <c r="H78" s="5" t="n">
        <v>1</v>
      </c>
      <c r="I78" s="5" t="n">
        <v>0</v>
      </c>
      <c r="J78" s="5" t="n">
        <v>1</v>
      </c>
      <c r="K78" s="5" t="n">
        <v>0</v>
      </c>
      <c r="L78" s="5" t="n">
        <v>1</v>
      </c>
      <c r="M78" s="5" t="n">
        <v>4</v>
      </c>
      <c r="N78" s="5" t="n">
        <v>1</v>
      </c>
      <c r="O78" s="5" t="n">
        <v>7</v>
      </c>
      <c r="P78" s="4" t="n"/>
    </row>
    <row r="79">
      <c r="A79" s="27" t="inlineStr">
        <is>
          <t>ΤΣΕΛΕΠΙΔΗΣ ΣΑΒΒΑΣ</t>
        </is>
      </c>
      <c r="B79" s="5" t="inlineStr">
        <is>
          <t>3 ΥΠΗΡΕΣΙΕΣ (ΣΥΝΕΝΟΗΣΗ ΑΠΟ tΠΡΙΝ)(ΟΧΙ ΜΛΣΝ)</t>
        </is>
      </c>
      <c r="C79" s="6" t="n">
        <v>0</v>
      </c>
      <c r="D79" s="6" t="n">
        <v>1</v>
      </c>
      <c r="E79" s="6" t="n">
        <v>1</v>
      </c>
      <c r="F79" s="6" t="n">
        <v>1</v>
      </c>
      <c r="G79" s="6" t="n">
        <v>0</v>
      </c>
      <c r="H79" s="6" t="n">
        <v>1</v>
      </c>
      <c r="I79" s="6" t="n">
        <v>1</v>
      </c>
      <c r="J79" s="6" t="n">
        <v>0</v>
      </c>
      <c r="K79" s="6" t="n">
        <v>0</v>
      </c>
      <c r="L79" s="6" t="n">
        <v>1</v>
      </c>
      <c r="M79" s="6" t="n">
        <v>4</v>
      </c>
      <c r="N79" s="6" t="n">
        <v>1</v>
      </c>
      <c r="O79" s="5" t="n">
        <v>7</v>
      </c>
    </row>
    <row r="80">
      <c r="A80" s="27" t="inlineStr">
        <is>
          <t>ΚΑΛΑΡΓΥΡΟΣ ΝΙΚΟΛΑΟΣ</t>
        </is>
      </c>
      <c r="B80" s="5" t="inlineStr">
        <is>
          <t>1ο ΓΡΑΦΕΙΟ</t>
        </is>
      </c>
      <c r="C80" s="6" t="n">
        <v>1</v>
      </c>
      <c r="D80" s="5" t="n">
        <v>1</v>
      </c>
      <c r="E80" s="5" t="n">
        <v>1</v>
      </c>
      <c r="F80" s="5" t="n">
        <v>1</v>
      </c>
      <c r="G80" s="5" t="n">
        <v>1</v>
      </c>
      <c r="H80" s="5" t="n">
        <v>1</v>
      </c>
      <c r="I80" s="5" t="n">
        <v>1</v>
      </c>
      <c r="J80" s="5" t="n">
        <v>0</v>
      </c>
      <c r="K80" s="5" t="n">
        <v>0</v>
      </c>
      <c r="L80" s="5" t="n">
        <v>1</v>
      </c>
      <c r="M80" s="5" t="n">
        <v>4</v>
      </c>
      <c r="N80" s="5" t="n">
        <v>1</v>
      </c>
      <c r="O80" s="5" t="n">
        <v>7</v>
      </c>
      <c r="P80" s="4" t="n"/>
    </row>
    <row r="81">
      <c r="A81" s="10" t="inlineStr">
        <is>
          <t>ΚΑΡΡΑΣ ΦΑΝΗΣ ΓΕΩΡΓΙΟΣ</t>
        </is>
      </c>
      <c r="B81" s="5" t="inlineStr">
        <is>
          <t>1ο ΓΡΑΦΕΙΟ (ΑΓΗΜΑ)</t>
        </is>
      </c>
      <c r="C81" s="6" t="n">
        <v>1</v>
      </c>
      <c r="D81" s="6" t="n">
        <v>1</v>
      </c>
      <c r="E81" s="6" t="n">
        <v>1</v>
      </c>
      <c r="F81" s="6" t="n">
        <v>1</v>
      </c>
      <c r="G81" s="6" t="n">
        <v>1</v>
      </c>
      <c r="H81" s="6" t="n">
        <v>1</v>
      </c>
      <c r="I81" s="6" t="n">
        <v>1</v>
      </c>
      <c r="J81" s="6" t="n">
        <v>0</v>
      </c>
      <c r="K81" s="6" t="n">
        <v>0</v>
      </c>
      <c r="L81" s="6" t="n">
        <v>0</v>
      </c>
      <c r="M81" s="6" t="n">
        <v>4</v>
      </c>
      <c r="N81" s="6" t="n">
        <v>1</v>
      </c>
      <c r="O81" s="5" t="n">
        <v>7</v>
      </c>
    </row>
    <row r="82">
      <c r="A82" s="27" t="inlineStr">
        <is>
          <t>ΛΥΚΟΥΡΑΣ ΛΑΜΠΡΟΣ</t>
        </is>
      </c>
      <c r="B82" s="5" t="inlineStr">
        <is>
          <t>ΓΕΕΘΑ/Α3 (1 ΥΠ)</t>
        </is>
      </c>
      <c r="C82" s="6" t="n">
        <v>1</v>
      </c>
      <c r="D82" s="5" t="n">
        <v>1</v>
      </c>
      <c r="E82" s="5" t="n">
        <v>1</v>
      </c>
      <c r="F82" s="5" t="n">
        <v>1</v>
      </c>
      <c r="G82" s="5" t="n">
        <v>1</v>
      </c>
      <c r="H82" s="5" t="n">
        <v>1</v>
      </c>
      <c r="I82" s="5" t="n">
        <v>0</v>
      </c>
      <c r="J82" s="5" t="n">
        <v>1</v>
      </c>
      <c r="K82" s="5" t="n">
        <v>0</v>
      </c>
      <c r="L82" s="5" t="n">
        <v>1</v>
      </c>
      <c r="M82" s="5" t="n">
        <v>4</v>
      </c>
      <c r="N82" s="5" t="n">
        <v>1</v>
      </c>
      <c r="O82" s="5" t="n">
        <v>7</v>
      </c>
      <c r="P82" s="4" t="n"/>
    </row>
    <row r="83">
      <c r="A83" s="27" t="inlineStr">
        <is>
          <t>ΚΟΥΝΑΝΗΣ ΚΥΡΙΑΚΟΣ</t>
        </is>
      </c>
      <c r="B83" s="5" t="inlineStr">
        <is>
          <t>ΓΕΕΘΑ/Α6 (1 ΥΠ)(ΣΚ)</t>
        </is>
      </c>
      <c r="C83" s="6" t="n">
        <v>1</v>
      </c>
      <c r="D83" s="6" t="n">
        <v>1</v>
      </c>
      <c r="E83" s="6" t="n">
        <v>1</v>
      </c>
      <c r="F83" s="6" t="n">
        <v>1</v>
      </c>
      <c r="G83" s="6" t="n">
        <v>1</v>
      </c>
      <c r="H83" s="6" t="n">
        <v>1</v>
      </c>
      <c r="I83" s="6" t="n">
        <v>0</v>
      </c>
      <c r="J83" s="6" t="n">
        <v>1</v>
      </c>
      <c r="K83" s="6" t="n">
        <v>1</v>
      </c>
      <c r="L83" s="6" t="n">
        <v>1</v>
      </c>
      <c r="M83" s="6" t="n">
        <v>4</v>
      </c>
      <c r="N83" s="6" t="n">
        <v>1</v>
      </c>
      <c r="O83" s="5" t="n">
        <v>7</v>
      </c>
    </row>
    <row r="84">
      <c r="A84" s="27" t="inlineStr">
        <is>
          <t>ΒΛΑΧΟΣ ΜΑΡΙΟΣ</t>
        </is>
      </c>
      <c r="B84" s="5" t="inlineStr">
        <is>
          <t>ΓΕΕΘΑ/Β1 (1 ΥΠ)</t>
        </is>
      </c>
      <c r="C84" s="6" t="n">
        <v>1</v>
      </c>
      <c r="D84" s="5" t="n">
        <v>1</v>
      </c>
      <c r="E84" s="5" t="n">
        <v>1</v>
      </c>
      <c r="F84" s="5" t="n">
        <v>1</v>
      </c>
      <c r="G84" s="5" t="n">
        <v>1</v>
      </c>
      <c r="H84" s="5" t="n">
        <v>1</v>
      </c>
      <c r="I84" s="5" t="n">
        <v>0</v>
      </c>
      <c r="J84" s="5" t="n">
        <v>1</v>
      </c>
      <c r="K84" s="5" t="n">
        <v>0</v>
      </c>
      <c r="L84" s="5" t="n">
        <v>1</v>
      </c>
      <c r="M84" s="5" t="n">
        <v>4</v>
      </c>
      <c r="N84" s="5" t="n">
        <v>1</v>
      </c>
      <c r="O84" s="5" t="n">
        <v>7</v>
      </c>
      <c r="P84" s="4" t="n"/>
    </row>
    <row r="85">
      <c r="A85" s="27" t="inlineStr">
        <is>
          <t>ΣΑΓΙΑΝΝΗΣ ΓΕΩΡΓΙΟΣ</t>
        </is>
      </c>
      <c r="B85" s="5" t="inlineStr">
        <is>
          <t>ΓΕΕΘΑ/Β1 (1 ΥΠ)</t>
        </is>
      </c>
      <c r="C85" s="6" t="n">
        <v>1</v>
      </c>
      <c r="D85" s="6" t="n">
        <v>1</v>
      </c>
      <c r="E85" s="6" t="n">
        <v>1</v>
      </c>
      <c r="F85" s="6" t="n">
        <v>1</v>
      </c>
      <c r="G85" s="6" t="n">
        <v>1</v>
      </c>
      <c r="H85" s="6" t="n">
        <v>1</v>
      </c>
      <c r="I85" s="6" t="n">
        <v>0</v>
      </c>
      <c r="J85" s="6" t="n">
        <v>0</v>
      </c>
      <c r="K85" s="6" t="n">
        <v>0</v>
      </c>
      <c r="L85" s="6" t="n">
        <v>1</v>
      </c>
      <c r="M85" s="6" t="n">
        <v>4</v>
      </c>
      <c r="N85" s="6" t="n">
        <v>1</v>
      </c>
      <c r="O85" s="5" t="n">
        <v>7</v>
      </c>
    </row>
    <row r="86">
      <c r="A86" s="27" t="inlineStr">
        <is>
          <t>ΚΑΡΑΜΑΝΗΣ ΝΙΚΟΛΑΟΣ</t>
        </is>
      </c>
      <c r="B86" s="5" t="inlineStr">
        <is>
          <t>ΓΕΕΘΑ/Β1 (1 ΥΠ)</t>
        </is>
      </c>
      <c r="C86" s="6" t="n">
        <v>1</v>
      </c>
      <c r="D86" s="5" t="n">
        <v>1</v>
      </c>
      <c r="E86" s="5" t="n">
        <v>1</v>
      </c>
      <c r="F86" s="5" t="n">
        <v>1</v>
      </c>
      <c r="G86" s="5" t="n">
        <v>0</v>
      </c>
      <c r="H86" s="5" t="n">
        <v>0</v>
      </c>
      <c r="I86" s="5" t="n">
        <v>0</v>
      </c>
      <c r="J86" s="5" t="n">
        <v>1</v>
      </c>
      <c r="K86" s="5" t="n">
        <v>0</v>
      </c>
      <c r="L86" s="5" t="n">
        <v>1</v>
      </c>
      <c r="M86" s="5" t="n">
        <v>4</v>
      </c>
      <c r="N86" s="5" t="n">
        <v>1</v>
      </c>
      <c r="O86" s="5" t="n">
        <v>7</v>
      </c>
      <c r="P86" s="4" t="n"/>
    </row>
    <row r="87">
      <c r="A87" s="27" t="inlineStr">
        <is>
          <t>ΠΟΤΟΛΙΑΣ ΑΝΑΣΤΑΣΙΟΣ</t>
        </is>
      </c>
      <c r="B87" s="5" t="inlineStr">
        <is>
          <t>ΓΕΕΘΑ/Β4 (1ΥΠ)</t>
        </is>
      </c>
      <c r="C87" s="6" t="n">
        <v>1</v>
      </c>
      <c r="D87" s="6" t="n">
        <v>1</v>
      </c>
      <c r="E87" s="6" t="n">
        <v>1</v>
      </c>
      <c r="F87" s="6" t="n">
        <v>1</v>
      </c>
      <c r="G87" s="6" t="n">
        <v>0</v>
      </c>
      <c r="H87" s="6" t="n">
        <v>0</v>
      </c>
      <c r="I87" s="6" t="n">
        <v>0</v>
      </c>
      <c r="J87" s="6" t="n">
        <v>1</v>
      </c>
      <c r="K87" s="6" t="n">
        <v>0</v>
      </c>
      <c r="L87" s="6" t="n">
        <v>1</v>
      </c>
      <c r="M87" s="6" t="n">
        <v>4</v>
      </c>
      <c r="N87" s="6" t="n">
        <v>1</v>
      </c>
      <c r="O87" s="5" t="n">
        <v>7</v>
      </c>
    </row>
    <row r="88">
      <c r="A88" s="10" t="inlineStr">
        <is>
          <t>ΚΑΤΣΑΡΗΣ ΑΘΑΝΑΣΙΟΣ</t>
        </is>
      </c>
      <c r="B88" s="5" t="inlineStr">
        <is>
          <t>ΓΕΕΘΑ/Β5 (1 ΥΠ)</t>
        </is>
      </c>
      <c r="C88" s="6" t="n">
        <v>1</v>
      </c>
      <c r="D88" s="6" t="n">
        <v>1</v>
      </c>
      <c r="E88" s="6" t="n">
        <v>1</v>
      </c>
      <c r="F88" s="6" t="n">
        <v>1</v>
      </c>
      <c r="G88" s="6" t="n">
        <v>1</v>
      </c>
      <c r="H88" s="6" t="n">
        <v>1</v>
      </c>
      <c r="I88" s="6" t="n">
        <v>0</v>
      </c>
      <c r="J88" s="6" t="n">
        <v>1</v>
      </c>
      <c r="K88" s="6" t="n">
        <v>0</v>
      </c>
      <c r="L88" s="6" t="n">
        <v>0</v>
      </c>
      <c r="M88" s="6" t="n">
        <v>4</v>
      </c>
      <c r="N88" s="6" t="n">
        <v>1</v>
      </c>
      <c r="O88" s="5" t="n">
        <v>7</v>
      </c>
      <c r="P88" s="4" t="n"/>
    </row>
    <row r="89">
      <c r="A89" s="5" t="inlineStr">
        <is>
          <t>ΚΑΠΟΥΛΑΣ ΗΛΙΑΣ</t>
        </is>
      </c>
      <c r="B89" s="5" t="inlineStr">
        <is>
          <t>ΓΕΕΘΑ/Γ1 (1 ΥΠ)</t>
        </is>
      </c>
      <c r="C89" s="6" t="n">
        <v>1</v>
      </c>
      <c r="D89" s="6" t="n">
        <v>1</v>
      </c>
      <c r="E89" s="6" t="n">
        <v>1</v>
      </c>
      <c r="F89" s="6" t="n">
        <v>1</v>
      </c>
      <c r="G89" s="6" t="n">
        <v>0</v>
      </c>
      <c r="H89" s="6" t="n">
        <v>0</v>
      </c>
      <c r="I89" s="6" t="n">
        <v>0</v>
      </c>
      <c r="J89" s="6" t="n">
        <v>1</v>
      </c>
      <c r="K89" s="6" t="n">
        <v>0</v>
      </c>
      <c r="L89" s="6" t="n">
        <v>1</v>
      </c>
      <c r="M89" s="6" t="n">
        <v>4</v>
      </c>
      <c r="N89" s="6" t="n">
        <v>1</v>
      </c>
      <c r="O89" s="5" t="n">
        <v>7</v>
      </c>
    </row>
    <row r="90">
      <c r="A90" s="5" t="inlineStr">
        <is>
          <t>ΧΡΥΣΑΝΘΟΣ ΑΝΤΩΝΙΟΣ ΔΑΛΕΖΙΟΣ</t>
        </is>
      </c>
      <c r="B90" s="5" t="inlineStr">
        <is>
          <t>ΓΕΕΘΑ/Γ2 (1ΥΠ)</t>
        </is>
      </c>
      <c r="C90" s="6" t="n">
        <v>1</v>
      </c>
      <c r="D90" s="6" t="n">
        <v>1</v>
      </c>
      <c r="E90" s="6" t="n">
        <v>1</v>
      </c>
      <c r="F90" s="6" t="n">
        <v>1</v>
      </c>
      <c r="G90" s="6" t="n">
        <v>0</v>
      </c>
      <c r="H90" s="6" t="n">
        <v>0</v>
      </c>
      <c r="I90" s="6" t="n">
        <v>0</v>
      </c>
      <c r="J90" s="6" t="n">
        <v>1</v>
      </c>
      <c r="K90" s="6" t="n">
        <v>0</v>
      </c>
      <c r="L90" s="6" t="n">
        <v>1</v>
      </c>
      <c r="M90" s="6" t="n">
        <v>4</v>
      </c>
      <c r="N90" s="6" t="n">
        <v>1</v>
      </c>
      <c r="O90" s="5" t="n">
        <v>7</v>
      </c>
      <c r="P90" s="4" t="n"/>
    </row>
    <row r="91">
      <c r="A91" s="5" t="inlineStr">
        <is>
          <t>ΠΡΑΓΓΙΔΗΣ ΣΩΤΗΡΙΟΣ</t>
        </is>
      </c>
      <c r="B91" s="5" t="inlineStr">
        <is>
          <t>ΓΕΕΘΑ/Γ3 (1 ΥΠ)</t>
        </is>
      </c>
      <c r="C91" s="6" t="n">
        <v>1</v>
      </c>
      <c r="D91" s="6" t="n">
        <v>1</v>
      </c>
      <c r="E91" s="6" t="n">
        <v>1</v>
      </c>
      <c r="F91" s="6" t="n">
        <v>1</v>
      </c>
      <c r="G91" s="6" t="n">
        <v>0</v>
      </c>
      <c r="H91" s="6" t="n">
        <v>0</v>
      </c>
      <c r="I91" s="6" t="n">
        <v>0</v>
      </c>
      <c r="J91" s="6" t="n">
        <v>1</v>
      </c>
      <c r="K91" s="6" t="n">
        <v>0</v>
      </c>
      <c r="L91" s="6" t="n">
        <v>1</v>
      </c>
      <c r="M91" s="6" t="n">
        <v>4</v>
      </c>
      <c r="N91" s="6" t="n">
        <v>1</v>
      </c>
      <c r="O91" s="5" t="n">
        <v>7</v>
      </c>
    </row>
    <row r="92">
      <c r="A92" s="5" t="inlineStr">
        <is>
          <t>ΣΙΑΓΚΑΣ ΑΘΑΝΑΣΙΟΣ</t>
        </is>
      </c>
      <c r="B92" s="5" t="inlineStr">
        <is>
          <t>ΓΕΕΘΑ/Γ5 (1ΥΠ)</t>
        </is>
      </c>
      <c r="C92" s="6" t="n">
        <v>1</v>
      </c>
      <c r="D92" s="6" t="n">
        <v>1</v>
      </c>
      <c r="E92" s="6" t="n">
        <v>1</v>
      </c>
      <c r="F92" s="6" t="n">
        <v>1</v>
      </c>
      <c r="G92" s="6" t="n">
        <v>0</v>
      </c>
      <c r="H92" s="6" t="n">
        <v>0</v>
      </c>
      <c r="I92" s="6" t="n">
        <v>0</v>
      </c>
      <c r="J92" s="6" t="n">
        <v>1</v>
      </c>
      <c r="K92" s="6" t="n">
        <v>0</v>
      </c>
      <c r="L92" s="6" t="n">
        <v>1</v>
      </c>
      <c r="M92" s="6" t="n">
        <v>4</v>
      </c>
      <c r="N92" s="6" t="n">
        <v>1</v>
      </c>
      <c r="O92" s="5" t="n">
        <v>7</v>
      </c>
      <c r="P92" s="4" t="n"/>
    </row>
    <row r="93">
      <c r="A93" s="5" t="inlineStr">
        <is>
          <t>ΚΑΡΑΚΩΣΤΑΣ ΧΑΡΑΛΑΜΠΟΣ</t>
        </is>
      </c>
      <c r="B93" s="5" t="inlineStr">
        <is>
          <t>ΓΕΕΘΑ/Δ2 (1 ΥΠ)</t>
        </is>
      </c>
      <c r="C93" s="6" t="n">
        <v>1</v>
      </c>
      <c r="D93" s="6" t="n">
        <v>1</v>
      </c>
      <c r="E93" s="6" t="n">
        <v>1</v>
      </c>
      <c r="F93" s="6" t="n">
        <v>1</v>
      </c>
      <c r="G93" s="6" t="n">
        <v>0</v>
      </c>
      <c r="H93" s="6" t="n">
        <v>0</v>
      </c>
      <c r="I93" s="6" t="n">
        <v>0</v>
      </c>
      <c r="J93" s="6" t="n">
        <v>1</v>
      </c>
      <c r="K93" s="6" t="n">
        <v>0</v>
      </c>
      <c r="L93" s="6" t="n">
        <v>1</v>
      </c>
      <c r="M93" s="6" t="n">
        <v>4</v>
      </c>
      <c r="N93" s="6" t="n">
        <v>1</v>
      </c>
      <c r="O93" s="5" t="n">
        <v>7</v>
      </c>
    </row>
    <row r="94">
      <c r="A94" s="5" t="inlineStr">
        <is>
          <t>ΣΚΥΛΑΚΑΚΗΣ ΑΡΙΣΤΕΙΔΗΣ</t>
        </is>
      </c>
      <c r="B94" s="5" t="inlineStr">
        <is>
          <t>ΓΕΕΘΑ/Δ2 (1 ΥΠ)</t>
        </is>
      </c>
      <c r="C94" s="6" t="n">
        <v>1</v>
      </c>
      <c r="D94" s="6" t="n">
        <v>1</v>
      </c>
      <c r="E94" s="6" t="n">
        <v>1</v>
      </c>
      <c r="F94" s="6" t="n">
        <v>1</v>
      </c>
      <c r="G94" s="6" t="n">
        <v>0</v>
      </c>
      <c r="H94" s="6" t="n">
        <v>0</v>
      </c>
      <c r="I94" s="6" t="n">
        <v>0</v>
      </c>
      <c r="J94" s="6" t="n">
        <v>1</v>
      </c>
      <c r="K94" s="6" t="n">
        <v>0</v>
      </c>
      <c r="L94" s="6" t="n">
        <v>1</v>
      </c>
      <c r="M94" s="6" t="n">
        <v>4</v>
      </c>
      <c r="N94" s="6" t="n">
        <v>1</v>
      </c>
      <c r="O94" s="5" t="n">
        <v>7</v>
      </c>
      <c r="P94" s="4" t="n"/>
    </row>
    <row r="95">
      <c r="A95" s="5" t="inlineStr">
        <is>
          <t>ΧΑΤΖΗΠΑΝΤΕΛΗΣ ΘΕΟΔΩΡΟΣ ΣΤΥΛΙΑΝΟΣ (ΜΟΝΟ ΒΑΥΔΜ)</t>
        </is>
      </c>
      <c r="B95" s="5" t="inlineStr">
        <is>
          <t>ΓΕΕΘΑ/Δ2 (1 ΥΠ)</t>
        </is>
      </c>
      <c r="C95" s="6" t="n">
        <v>0</v>
      </c>
      <c r="D95" s="6" t="n">
        <v>0</v>
      </c>
      <c r="E95" s="6" t="n">
        <v>0</v>
      </c>
      <c r="F95" s="6" t="n">
        <v>1</v>
      </c>
      <c r="G95" s="6" t="n">
        <v>0</v>
      </c>
      <c r="H95" s="6" t="n">
        <v>0</v>
      </c>
      <c r="I95" s="6" t="n">
        <v>0</v>
      </c>
      <c r="J95" s="6" t="n">
        <v>1</v>
      </c>
      <c r="K95" s="6" t="n">
        <v>0</v>
      </c>
      <c r="L95" s="6" t="n">
        <v>1</v>
      </c>
      <c r="M95" s="6" t="n">
        <v>4</v>
      </c>
      <c r="N95" s="6" t="n">
        <v>1</v>
      </c>
      <c r="O95" s="5" t="n">
        <v>7</v>
      </c>
    </row>
    <row r="96">
      <c r="A96" s="5" t="inlineStr">
        <is>
          <t>ΤΟΥΝΤΑΣ ΝΙΚΟΛΑΟΣ</t>
        </is>
      </c>
      <c r="B96" s="5" t="inlineStr">
        <is>
          <t>ΓΕΕΘΑ/Δ3 (1 ΥΠ)</t>
        </is>
      </c>
      <c r="C96" s="6" t="n">
        <v>1</v>
      </c>
      <c r="D96" s="6" t="n">
        <v>1</v>
      </c>
      <c r="E96" s="6" t="n">
        <v>1</v>
      </c>
      <c r="F96" s="6" t="n">
        <v>1</v>
      </c>
      <c r="G96" s="6" t="n">
        <v>1</v>
      </c>
      <c r="H96" s="6" t="n">
        <v>1</v>
      </c>
      <c r="I96" s="6" t="n">
        <v>0</v>
      </c>
      <c r="J96" s="6" t="n">
        <v>1</v>
      </c>
      <c r="K96" s="6" t="n">
        <v>0</v>
      </c>
      <c r="L96" s="6" t="n">
        <v>1</v>
      </c>
      <c r="M96" s="6" t="n">
        <v>4</v>
      </c>
      <c r="N96" s="6" t="n">
        <v>1</v>
      </c>
      <c r="O96" s="5" t="n">
        <v>7</v>
      </c>
      <c r="P96" s="4" t="n"/>
    </row>
    <row r="97">
      <c r="A97" s="5" t="inlineStr">
        <is>
          <t>ΠΑΠΑΔΟΠΟΥΛΟΣ ΚΩΝΣΤΑΝΤΙΝΟΣ</t>
        </is>
      </c>
      <c r="B97" s="5" t="inlineStr">
        <is>
          <t>ΓΕΕΘΑ/Δ3 (1 ΥΠ)</t>
        </is>
      </c>
      <c r="C97" s="6" t="n">
        <v>1</v>
      </c>
      <c r="D97" s="6" t="n">
        <v>1</v>
      </c>
      <c r="E97" s="6" t="n">
        <v>1</v>
      </c>
      <c r="F97" s="6" t="n">
        <v>1</v>
      </c>
      <c r="G97" s="6" t="n">
        <v>1</v>
      </c>
      <c r="H97" s="6" t="n">
        <v>1</v>
      </c>
      <c r="I97" s="6" t="n">
        <v>0</v>
      </c>
      <c r="J97" s="6" t="n">
        <v>1</v>
      </c>
      <c r="K97" s="6" t="n">
        <v>0</v>
      </c>
      <c r="L97" s="6" t="n">
        <v>1</v>
      </c>
      <c r="M97" s="6" t="n">
        <v>4</v>
      </c>
      <c r="N97" s="6" t="n">
        <v>1</v>
      </c>
      <c r="O97" s="5" t="n">
        <v>7</v>
      </c>
    </row>
    <row r="98">
      <c r="A98" s="5" t="inlineStr">
        <is>
          <t>ΚΑΤΣΑΡΑΣ ΒΑΣΙΛΕΙΟΣ</t>
        </is>
      </c>
      <c r="B98" s="5" t="inlineStr">
        <is>
          <t>ΓΕΕΘΑ/Δ4 (1 ΥΠ)</t>
        </is>
      </c>
      <c r="C98" s="6" t="n">
        <v>1</v>
      </c>
      <c r="D98" s="6" t="n">
        <v>1</v>
      </c>
      <c r="E98" s="6" t="n">
        <v>1</v>
      </c>
      <c r="F98" s="6" t="n">
        <v>1</v>
      </c>
      <c r="G98" s="6" t="n">
        <v>1</v>
      </c>
      <c r="H98" s="6" t="n">
        <v>1</v>
      </c>
      <c r="I98" s="6" t="n">
        <v>0</v>
      </c>
      <c r="J98" s="6" t="n">
        <v>1</v>
      </c>
      <c r="K98" s="6" t="n">
        <v>0</v>
      </c>
      <c r="L98" s="6" t="n">
        <v>1</v>
      </c>
      <c r="M98" s="6" t="n">
        <v>4</v>
      </c>
      <c r="N98" s="6" t="n">
        <v>1</v>
      </c>
      <c r="O98" s="5" t="n">
        <v>7</v>
      </c>
      <c r="P98" s="4" t="n"/>
    </row>
    <row r="99">
      <c r="A99" s="5" t="inlineStr">
        <is>
          <t>ΜΠΕΛΗΣ ΑΧΙΛΛΕΑΣ</t>
        </is>
      </c>
      <c r="B99" s="5" t="inlineStr">
        <is>
          <t>ΓΕΕΘΑ/Δ4 (1 ΥΠ)</t>
        </is>
      </c>
      <c r="C99" s="6" t="n">
        <v>1</v>
      </c>
      <c r="D99" s="6" t="n">
        <v>1</v>
      </c>
      <c r="E99" s="6" t="n">
        <v>1</v>
      </c>
      <c r="F99" s="6" t="n">
        <v>1</v>
      </c>
      <c r="G99" s="6" t="n">
        <v>1</v>
      </c>
      <c r="H99" s="6" t="n">
        <v>1</v>
      </c>
      <c r="I99" s="6" t="n">
        <v>0</v>
      </c>
      <c r="J99" s="6" t="n">
        <v>1</v>
      </c>
      <c r="K99" s="6" t="n">
        <v>0</v>
      </c>
      <c r="L99" s="6" t="n">
        <v>1</v>
      </c>
      <c r="M99" s="6" t="n">
        <v>4</v>
      </c>
      <c r="N99" s="6" t="n">
        <v>1</v>
      </c>
      <c r="O99" s="5" t="n">
        <v>7</v>
      </c>
    </row>
    <row r="100">
      <c r="A100" s="5" t="inlineStr">
        <is>
          <t>ΜΑΛΤΑΣ ΓΕΩΡΓΙΟΣ</t>
        </is>
      </c>
      <c r="B100" s="5" t="inlineStr">
        <is>
          <t>ΓΕΕΘΑ/Δ4 (1 ΥΠ)</t>
        </is>
      </c>
      <c r="C100" s="6" t="n">
        <v>1</v>
      </c>
      <c r="D100" s="6" t="n">
        <v>1</v>
      </c>
      <c r="E100" s="6" t="n">
        <v>1</v>
      </c>
      <c r="F100" s="6" t="n">
        <v>1</v>
      </c>
      <c r="G100" s="6" t="n">
        <v>1</v>
      </c>
      <c r="H100" s="6" t="n">
        <v>1</v>
      </c>
      <c r="I100" s="6" t="n">
        <v>0</v>
      </c>
      <c r="J100" s="6" t="n">
        <v>1</v>
      </c>
      <c r="K100" s="6" t="n">
        <v>0</v>
      </c>
      <c r="L100" s="6" t="n">
        <v>1</v>
      </c>
      <c r="M100" s="6" t="n">
        <v>4</v>
      </c>
      <c r="N100" s="6" t="n">
        <v>1</v>
      </c>
      <c r="O100" s="5" t="n">
        <v>7</v>
      </c>
      <c r="P100" s="4" t="n"/>
    </row>
    <row r="101">
      <c r="A101" s="5" t="inlineStr">
        <is>
          <t>ΣΑΡΑΚΙΝΤΣΗΣ ΣΤΥΛΙΑΝΟΣ</t>
        </is>
      </c>
      <c r="B101" s="5" t="inlineStr">
        <is>
          <t>ΓΕΕΘΑ/ΔΟΥ (1 ΥΠ)</t>
        </is>
      </c>
      <c r="C101" s="6" t="n">
        <v>1</v>
      </c>
      <c r="D101" s="6" t="n">
        <v>1</v>
      </c>
      <c r="E101" s="6" t="n">
        <v>1</v>
      </c>
      <c r="F101" s="6" t="n">
        <v>1</v>
      </c>
      <c r="G101" s="6" t="n">
        <v>1</v>
      </c>
      <c r="H101" s="6" t="n">
        <v>1</v>
      </c>
      <c r="I101" s="6" t="n">
        <v>0</v>
      </c>
      <c r="J101" s="6" t="n">
        <v>1</v>
      </c>
      <c r="K101" s="6" t="n">
        <v>0</v>
      </c>
      <c r="L101" s="6" t="n">
        <v>1</v>
      </c>
      <c r="M101" s="6" t="n">
        <v>4</v>
      </c>
      <c r="N101" s="6" t="n">
        <v>1</v>
      </c>
      <c r="O101" s="5" t="n">
        <v>7</v>
      </c>
    </row>
    <row r="102">
      <c r="A102" s="5" t="inlineStr">
        <is>
          <t>ΣΑΡΑΚΙΝΤΣΗΣ ΜΑΡΙΟΣ</t>
        </is>
      </c>
      <c r="B102" s="5" t="inlineStr">
        <is>
          <t>ΓΕΕΘΑ/ΔΟΥ (1 ΥΠ)</t>
        </is>
      </c>
      <c r="C102" s="6" t="n">
        <v>1</v>
      </c>
      <c r="D102" s="6" t="n">
        <v>1</v>
      </c>
      <c r="E102" s="6" t="n">
        <v>1</v>
      </c>
      <c r="F102" s="6" t="n">
        <v>1</v>
      </c>
      <c r="G102" s="6" t="n">
        <v>1</v>
      </c>
      <c r="H102" s="6" t="n">
        <v>1</v>
      </c>
      <c r="I102" s="6" t="n">
        <v>0</v>
      </c>
      <c r="J102" s="6" t="n">
        <v>1</v>
      </c>
      <c r="K102" s="6" t="n">
        <v>0</v>
      </c>
      <c r="L102" s="6" t="n">
        <v>1</v>
      </c>
      <c r="M102" s="6" t="n">
        <v>4</v>
      </c>
      <c r="N102" s="6" t="n">
        <v>1</v>
      </c>
      <c r="O102" s="5" t="n">
        <v>7</v>
      </c>
    </row>
    <row r="103">
      <c r="A103" s="5" t="inlineStr">
        <is>
          <t>ΠΑΥΛΑΚΗΣ ΙΩΑΝΝΗΣ ΠΑΝΑΓΙΩΤΗΣ</t>
        </is>
      </c>
      <c r="B103" s="5" t="inlineStr">
        <is>
          <t>ΓΕΕΘΑ/ΔΟΥ (1 ΥΠ)</t>
        </is>
      </c>
      <c r="C103" s="6" t="n">
        <v>1</v>
      </c>
      <c r="D103" s="6" t="n">
        <v>1</v>
      </c>
      <c r="E103" s="6" t="n">
        <v>1</v>
      </c>
      <c r="F103" s="6" t="n">
        <v>1</v>
      </c>
      <c r="G103" s="6" t="n">
        <v>1</v>
      </c>
      <c r="H103" s="6" t="n">
        <v>1</v>
      </c>
      <c r="I103" s="6" t="n">
        <v>0</v>
      </c>
      <c r="J103" s="6" t="n">
        <v>1</v>
      </c>
      <c r="K103" s="6" t="n">
        <v>0</v>
      </c>
      <c r="L103" s="6" t="n">
        <v>1</v>
      </c>
      <c r="M103" s="6" t="n">
        <v>4</v>
      </c>
      <c r="N103" s="6" t="n">
        <v>1</v>
      </c>
      <c r="O103" s="5" t="n">
        <v>7</v>
      </c>
    </row>
    <row r="104">
      <c r="A104" s="5" t="inlineStr">
        <is>
          <t>ΕΛΜΑΛΙΚΛΗΣ ΔΗΜΗΤΡΙΟΣ</t>
        </is>
      </c>
      <c r="B104" s="5" t="inlineStr">
        <is>
          <t>ΓΕΕΘΑ/Ε3(1 ΥΠ)</t>
        </is>
      </c>
      <c r="C104" s="6" t="n">
        <v>1</v>
      </c>
      <c r="D104" s="6" t="n">
        <v>1</v>
      </c>
      <c r="E104" s="6" t="n">
        <v>1</v>
      </c>
      <c r="F104" s="6" t="n">
        <v>1</v>
      </c>
      <c r="G104" s="6" t="n">
        <v>1</v>
      </c>
      <c r="H104" s="6" t="n">
        <v>1</v>
      </c>
      <c r="I104" s="6" t="n">
        <v>0</v>
      </c>
      <c r="J104" s="6" t="n">
        <v>1</v>
      </c>
      <c r="K104" s="6" t="n">
        <v>0</v>
      </c>
      <c r="L104" s="6" t="n">
        <v>1</v>
      </c>
      <c r="M104" s="6" t="n">
        <v>4</v>
      </c>
      <c r="N104" s="6" t="n">
        <v>1</v>
      </c>
      <c r="O104" s="5" t="n">
        <v>7</v>
      </c>
    </row>
    <row r="105">
      <c r="A105" s="5" t="inlineStr">
        <is>
          <t>ΡΑΒΑΝΗΣ ΙΩΑΝΝΗΣ</t>
        </is>
      </c>
      <c r="B105" s="5" t="inlineStr">
        <is>
          <t>ΓΕΕΘΑ/Ε3(1 ΥΠ)</t>
        </is>
      </c>
      <c r="C105" s="6" t="n">
        <v>1</v>
      </c>
      <c r="D105" s="6" t="n">
        <v>1</v>
      </c>
      <c r="E105" s="6" t="n">
        <v>1</v>
      </c>
      <c r="F105" s="6" t="n">
        <v>1</v>
      </c>
      <c r="G105" s="6" t="n">
        <v>1</v>
      </c>
      <c r="H105" s="6" t="n">
        <v>1</v>
      </c>
      <c r="I105" s="6" t="n">
        <v>0</v>
      </c>
      <c r="J105" s="6" t="n">
        <v>1</v>
      </c>
      <c r="K105" s="6" t="n">
        <v>0</v>
      </c>
      <c r="L105" s="6" t="n">
        <v>1</v>
      </c>
      <c r="M105" s="6" t="n">
        <v>4</v>
      </c>
      <c r="N105" s="6" t="n">
        <v>1</v>
      </c>
      <c r="O105" s="5" t="n">
        <v>7</v>
      </c>
    </row>
    <row r="106">
      <c r="A106" s="5" t="inlineStr">
        <is>
          <t>ΠΑΡΓΑΣ ΚΩΝΣΤΑΝΤΙΝΟΣ</t>
        </is>
      </c>
      <c r="B106" s="5" t="inlineStr">
        <is>
          <t>ΓΕΕΘΑ/Ε3(1 ΥΠ)</t>
        </is>
      </c>
      <c r="C106" s="6" t="n">
        <v>1</v>
      </c>
      <c r="D106" s="6" t="n">
        <v>1</v>
      </c>
      <c r="E106" s="6" t="n">
        <v>1</v>
      </c>
      <c r="F106" s="6" t="n">
        <v>1</v>
      </c>
      <c r="G106" s="6" t="n">
        <v>1</v>
      </c>
      <c r="H106" s="6" t="n">
        <v>1</v>
      </c>
      <c r="I106" s="6" t="n">
        <v>0</v>
      </c>
      <c r="J106" s="6" t="n">
        <v>1</v>
      </c>
      <c r="K106" s="6" t="n">
        <v>0</v>
      </c>
      <c r="L106" s="6" t="n">
        <v>1</v>
      </c>
      <c r="M106" s="6" t="n">
        <v>4</v>
      </c>
      <c r="N106" s="6" t="n">
        <v>1</v>
      </c>
      <c r="O106" s="5" t="n">
        <v>7</v>
      </c>
    </row>
    <row r="107">
      <c r="A107" s="5" t="inlineStr">
        <is>
          <t>ΔΙΑΜΑΝΤΟΠΟΥΛΟΣ ΑΝΔΡΕΑΣ (ΣΚ)</t>
        </is>
      </c>
      <c r="B107" s="5" t="inlineStr">
        <is>
          <t>ΓΕΕΘΑ/ΣΤ1 (1 ΥΠ)</t>
        </is>
      </c>
      <c r="C107" s="6" t="n">
        <v>1</v>
      </c>
      <c r="D107" s="6" t="n">
        <v>1</v>
      </c>
      <c r="E107" s="6" t="n">
        <v>1</v>
      </c>
      <c r="F107" s="6" t="n">
        <v>1</v>
      </c>
      <c r="G107" s="6" t="n">
        <v>1</v>
      </c>
      <c r="H107" s="6" t="n">
        <v>1</v>
      </c>
      <c r="I107" s="6" t="n">
        <v>0</v>
      </c>
      <c r="J107" s="6" t="n">
        <v>1</v>
      </c>
      <c r="K107" s="6" t="n">
        <v>1</v>
      </c>
      <c r="L107" s="6" t="n">
        <v>1</v>
      </c>
      <c r="M107" s="6" t="n">
        <v>4</v>
      </c>
      <c r="N107" s="6" t="n">
        <v>1</v>
      </c>
      <c r="O107" s="5" t="n">
        <v>7</v>
      </c>
    </row>
    <row r="108">
      <c r="A108" s="5" t="inlineStr">
        <is>
          <t>ΜΠΑΓΚΑΣ ΠΑΡΑΣΚΕΥΑΣ</t>
        </is>
      </c>
      <c r="B108" s="5" t="inlineStr">
        <is>
          <t>ΓΕΕΘΑ/ΔΕΑ (1 ΥΠ)</t>
        </is>
      </c>
      <c r="C108" s="6" t="n">
        <v>1</v>
      </c>
      <c r="D108" s="6" t="n">
        <v>1</v>
      </c>
      <c r="E108" s="6" t="n">
        <v>1</v>
      </c>
      <c r="F108" s="6" t="n">
        <v>1</v>
      </c>
      <c r="G108" s="6" t="n">
        <v>1</v>
      </c>
      <c r="H108" s="6" t="n">
        <v>1</v>
      </c>
      <c r="I108" s="6" t="n">
        <v>0</v>
      </c>
      <c r="J108" s="6" t="n">
        <v>1</v>
      </c>
      <c r="K108" s="6" t="n">
        <v>0</v>
      </c>
      <c r="L108" s="6" t="n">
        <v>1</v>
      </c>
      <c r="M108" s="6" t="n">
        <v>4</v>
      </c>
      <c r="N108" s="6" t="n">
        <v>1</v>
      </c>
      <c r="O108" s="5" t="n">
        <v>7</v>
      </c>
    </row>
    <row r="109">
      <c r="A109" s="5" t="inlineStr">
        <is>
          <t>ΠΕΤΥΧΑΚΗΣ ΚΩΝΣΤΑΝΤΙΝΟΣ</t>
        </is>
      </c>
      <c r="B109" s="5" t="inlineStr">
        <is>
          <t>ΓΕΕΘΑ/ΔΕΑ (1 ΥΠ)</t>
        </is>
      </c>
      <c r="C109" s="6" t="n">
        <v>1</v>
      </c>
      <c r="D109" s="6" t="n">
        <v>1</v>
      </c>
      <c r="E109" s="6" t="n">
        <v>1</v>
      </c>
      <c r="F109" s="6" t="n">
        <v>1</v>
      </c>
      <c r="G109" s="6" t="n">
        <v>1</v>
      </c>
      <c r="H109" s="6" t="n">
        <v>1</v>
      </c>
      <c r="I109" s="6" t="n">
        <v>0</v>
      </c>
      <c r="J109" s="6" t="n">
        <v>1</v>
      </c>
      <c r="K109" s="6" t="n">
        <v>0</v>
      </c>
      <c r="L109" s="6" t="n">
        <v>1</v>
      </c>
      <c r="M109" s="6" t="n">
        <v>4</v>
      </c>
      <c r="N109" s="6" t="n">
        <v>1</v>
      </c>
      <c r="O109" s="5" t="n">
        <v>7</v>
      </c>
    </row>
    <row r="110">
      <c r="A110" s="5" t="inlineStr">
        <is>
          <t>ΓΚΟΣΔΗΣ ΦΩΤΙΟΣ</t>
        </is>
      </c>
      <c r="B110" s="5" t="inlineStr">
        <is>
          <t>ΓΕΕΘΑ/ΔΣΕ (1 ΥΠ)</t>
        </is>
      </c>
      <c r="C110" s="6" t="n">
        <v>1</v>
      </c>
      <c r="D110" s="6" t="n">
        <v>1</v>
      </c>
      <c r="E110" s="6" t="n">
        <v>1</v>
      </c>
      <c r="F110" s="6" t="n">
        <v>1</v>
      </c>
      <c r="G110" s="6" t="n">
        <v>1</v>
      </c>
      <c r="H110" s="6" t="n">
        <v>1</v>
      </c>
      <c r="I110" s="6" t="n">
        <v>0</v>
      </c>
      <c r="J110" s="6" t="n">
        <v>1</v>
      </c>
      <c r="K110" s="6" t="n">
        <v>0</v>
      </c>
      <c r="L110" s="6" t="n">
        <v>1</v>
      </c>
      <c r="M110" s="6" t="n">
        <v>4</v>
      </c>
      <c r="N110" s="6" t="n">
        <v>1</v>
      </c>
      <c r="O110" s="5" t="n">
        <v>7</v>
      </c>
    </row>
    <row r="111">
      <c r="A111" s="5" t="inlineStr">
        <is>
          <t>ΠΑΠΑΘΑΝΑΣΙΟΥ ΑΛΕΞΑΝΔΡΟΣ</t>
        </is>
      </c>
      <c r="B111" s="5" t="inlineStr">
        <is>
          <t>ΓΕΕΘΑ/ΔΣΕ (1 ΥΠ)</t>
        </is>
      </c>
      <c r="C111" s="6" t="n">
        <v>1</v>
      </c>
      <c r="D111" s="6" t="n">
        <v>1</v>
      </c>
      <c r="E111" s="6" t="n">
        <v>1</v>
      </c>
      <c r="F111" s="6" t="n">
        <v>1</v>
      </c>
      <c r="G111" s="6" t="n">
        <v>1</v>
      </c>
      <c r="H111" s="6" t="n">
        <v>1</v>
      </c>
      <c r="I111" s="6" t="n">
        <v>0</v>
      </c>
      <c r="J111" s="6" t="n">
        <v>1</v>
      </c>
      <c r="K111" s="6" t="n">
        <v>0</v>
      </c>
      <c r="L111" s="6" t="n">
        <v>1</v>
      </c>
      <c r="M111" s="6" t="n">
        <v>4</v>
      </c>
      <c r="N111" s="6" t="n">
        <v>1</v>
      </c>
      <c r="O111" s="5" t="n">
        <v>7</v>
      </c>
    </row>
    <row r="112">
      <c r="A112" s="28" t="inlineStr">
        <is>
          <t>ΠΟΛΥΖΩΓΟΠΟΥΛΟΣ ΑΝΔΡΕΑΣ</t>
        </is>
      </c>
      <c r="B112" s="5" t="inlineStr">
        <is>
          <t>ΓΕΕΘΑ/ΔΣΕ (1 ΥΠ)</t>
        </is>
      </c>
      <c r="C112" s="6" t="n">
        <v>1</v>
      </c>
      <c r="D112" s="6" t="n">
        <v>1</v>
      </c>
      <c r="E112" s="6" t="n">
        <v>1</v>
      </c>
      <c r="F112" s="6" t="n">
        <v>1</v>
      </c>
      <c r="G112" s="6" t="n">
        <v>1</v>
      </c>
      <c r="H112" s="6" t="n">
        <v>1</v>
      </c>
      <c r="I112" s="6" t="n">
        <v>0</v>
      </c>
      <c r="J112" s="6" t="n">
        <v>1</v>
      </c>
      <c r="K112" s="6" t="n">
        <v>0</v>
      </c>
      <c r="L112" s="6" t="n">
        <v>1</v>
      </c>
      <c r="M112" s="6" t="n">
        <v>4</v>
      </c>
      <c r="N112" s="6" t="n">
        <v>1</v>
      </c>
      <c r="O112" s="5" t="n">
        <v>7</v>
      </c>
    </row>
  </sheetData>
  <autoFilter ref="A1:B112"/>
  <dataValidations count="1">
    <dataValidation sqref="C2:L112" showDropDown="0" showInputMessage="0" showErrorMessage="0" allowBlank="1" type="whole">
      <formula1>0</formula1>
      <formula2>1</formula2>
    </dataValidation>
  </dataValidations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P34"/>
  <sheetViews>
    <sheetView tabSelected="1" topLeftCell="C1" zoomScale="57" zoomScaleNormal="100" workbookViewId="0">
      <pane ySplit="3" topLeftCell="A7" activePane="bottomLeft" state="frozen"/>
      <selection pane="bottomLeft" activeCell="E32" sqref="E32"/>
    </sheetView>
  </sheetViews>
  <sheetFormatPr baseColWidth="8" defaultRowHeight="14.5"/>
  <cols>
    <col width="14" customWidth="1" min="1" max="1"/>
    <col width="12" customWidth="1" min="2" max="2"/>
    <col width="35.6328125" customWidth="1" min="3" max="14"/>
    <col width="9" customWidth="1" min="15" max="15"/>
    <col width="12" customWidth="1" min="16" max="16"/>
  </cols>
  <sheetData>
    <row r="1">
      <c r="A1" t="inlineStr">
        <is>
          <t>Μήνας έναρξης</t>
        </is>
      </c>
      <c r="B1" s="2" t="n">
        <v>46082</v>
      </c>
    </row>
    <row r="3">
      <c r="A3" s="3" t="inlineStr">
        <is>
          <t>ΗΜΕΡΑ</t>
        </is>
      </c>
      <c r="B3" s="3" t="inlineStr">
        <is>
          <t>ΗΜ/ΝΙΑ</t>
        </is>
      </c>
      <c r="C3" s="17" t="inlineStr">
        <is>
          <t>ΜΛΣΝ1</t>
        </is>
      </c>
      <c r="D3" s="17" t="inlineStr">
        <is>
          <t>ΜΛΣΝ2</t>
        </is>
      </c>
      <c r="E3" s="17" t="inlineStr">
        <is>
          <t>ΜΛΣΝ3</t>
        </is>
      </c>
      <c r="F3" s="17" t="inlineStr">
        <is>
          <t>ΜΛΣΝ4</t>
        </is>
      </c>
      <c r="G3" s="3" t="inlineStr">
        <is>
          <t>ΕΤΑΦ1</t>
        </is>
      </c>
      <c r="H3" s="3" t="inlineStr">
        <is>
          <t>ΕΤΑΦ2</t>
        </is>
      </c>
      <c r="I3" s="3" t="inlineStr">
        <is>
          <t>ΕΣΤ1</t>
        </is>
      </c>
      <c r="J3" s="3" t="inlineStr">
        <is>
          <t>ΕΣΤ2</t>
        </is>
      </c>
      <c r="K3" s="3" t="inlineStr">
        <is>
          <t>ΒΑΥΔΜ</t>
        </is>
      </c>
      <c r="L3" s="3" t="inlineStr">
        <is>
          <t>ΕΠΙΦ_ΜΛΣΝ</t>
        </is>
      </c>
      <c r="M3" s="3" t="inlineStr">
        <is>
          <t>ΕΠΙΦ_ΒΑΥΔΜ</t>
        </is>
      </c>
      <c r="N3" s="3" t="inlineStr">
        <is>
          <t>ΑΠΑΙΤ.</t>
        </is>
      </c>
      <c r="O3" s="3" t="inlineStr">
        <is>
          <t>ΣΥΜΠΛ.</t>
        </is>
      </c>
      <c r="P3" s="3" t="inlineStr">
        <is>
          <t>ΕΛΕΓΧΟΣ</t>
        </is>
      </c>
    </row>
    <row r="4">
      <c r="A4" s="15">
        <f>IF(B4="","",CHOOSE(WEEKDAY(B4,2),"Δευτέρα","Τρίτη","Τετάρτη","Πέμπτη","Παρασκευή","Σάββατο","Κυριακή"))</f>
        <v/>
      </c>
      <c r="B4" s="14">
        <f>IF(1&lt;=DAY(EOMONTH($B$1,0)),DATE(YEAR($B$1),MONTH($B$1),1),"")</f>
        <v/>
      </c>
      <c r="C4" s="18" t="inlineStr">
        <is>
          <t>ΒΕΛΙΣΣΑΡΗΣ ΙΩΑΝΝΗΣ 1 ΥΠ ΤΟΝ ΜΗΝΑ (ΜΛΣΝ) (ΔΕΥΤΕΡΗ ΣΤΗΝ ΑΝΑΓΚΗ)</t>
        </is>
      </c>
      <c r="D4" s="18" t="inlineStr">
        <is>
          <t>ΚΑΠΕΤΑΝΟΥ ΑΛΕΞΑΝΔΡΟΣ (1 ΥΠ ΤΟΝ ΕΝΑ ΜΗΝΑ / 2 ΥΠ ΤΟΝ ΕΠΟΜΕΝΟ ΚΑΙ ΕΝΑΛΑΞ)</t>
        </is>
      </c>
      <c r="E4" s="18" t="inlineStr">
        <is>
          <t>ΣΥΝΟΔΙΝΟΣ ΕΡΩΤΟΚΡΙΤΟΣ</t>
        </is>
      </c>
      <c r="F4" s="18" t="n"/>
      <c r="G4" s="19" t="inlineStr">
        <is>
          <t>ΑΓΓΕΛΟΓΙΑΝΝΟΠΟΥΛΟΣ ΜΑΡΙΟΣ</t>
        </is>
      </c>
      <c r="H4" s="19" t="n"/>
      <c r="I4" s="20" t="inlineStr">
        <is>
          <t>ΧΑΤΖΗΓΕΩΡΓΙΟΥ ΔΗΜΗΤΡΙΟΣ</t>
        </is>
      </c>
      <c r="J4" s="20" t="n"/>
      <c r="K4" s="21" t="inlineStr">
        <is>
          <t>ΒΟΛΤΥΡΑΚΗΣ ΧΡΗΣΤΟΣ (MONO ΒΑΥΔΜ)</t>
        </is>
      </c>
      <c r="L4" s="22" t="inlineStr">
        <is>
          <t>ΑΚΡΙΒΟΣ ΝΙΚΟΛΑΟΣ</t>
        </is>
      </c>
      <c r="M4" s="23" t="inlineStr">
        <is>
          <t>ΝΑΥΤΗΣ ΑΝΑΣΤΑΣΙΟΣ (Ι4 ΒΑΥΔΜ)</t>
        </is>
      </c>
      <c r="N4" s="9" t="n">
        <v>9</v>
      </c>
      <c r="O4" s="9">
        <f>COUNTA(C4:M4)</f>
        <v/>
      </c>
      <c r="P4" s="9">
        <f>IF(B4="","",IF(N4=O4,"OK","ΕΛΕΓΧΟΣ"))</f>
        <v/>
      </c>
    </row>
    <row r="5">
      <c r="A5" s="15">
        <f>IF(B5="","",CHOOSE(WEEKDAY(B5,2),"Δευτέρα","Τρίτη","Τετάρτη","Πέμπτη","Παρασκευή","Σάββατο","Κυριακή"))</f>
        <v/>
      </c>
      <c r="B5" s="14">
        <f>IF(2&lt;=DAY(EOMONTH($B$1,0)),DATE(YEAR($B$1),MONTH($B$1),2),"")</f>
        <v/>
      </c>
      <c r="C5" s="18" t="inlineStr">
        <is>
          <t>ΓΚΟΣΔΗΣ ΦΩΤΙΟΣ</t>
        </is>
      </c>
      <c r="D5" s="18" t="inlineStr">
        <is>
          <t>ΔΑΣΟΥΛΑΣ ΓΕΩΡΓΙΟΣ</t>
        </is>
      </c>
      <c r="E5" s="18" t="inlineStr">
        <is>
          <t>ΕΛΕΥΘΕΡΙΟΥ ΑΝΤΩΝΙΟΣ</t>
        </is>
      </c>
      <c r="F5" s="18" t="n"/>
      <c r="G5" s="19" t="inlineStr">
        <is>
          <t>ΓΙΑΝΝΟΓΛΟΥ ΠΑΡΘΕΝΙΟΣ ΑΓΓΕΛΟΣ</t>
        </is>
      </c>
      <c r="H5" s="19" t="n"/>
      <c r="I5" s="20" t="inlineStr">
        <is>
          <t>ΠΡΑΓΓΙΔΗΣ ΣΩΤΗΡΙΟΣ</t>
        </is>
      </c>
      <c r="J5" s="20" t="inlineStr">
        <is>
          <t>ΣΚΥΛΑΚΑΚΗΣ ΑΡΙΣΤΕΙΔΗΣ</t>
        </is>
      </c>
      <c r="K5" s="10" t="inlineStr">
        <is>
          <t>ΚΑΠΟΥΛΑΣ ΗΛΙΑΣ</t>
        </is>
      </c>
      <c r="L5" s="22" t="inlineStr">
        <is>
          <t>ΒΑΚΑΛΗΣ ΑΝΤΩΝΙΟΣ</t>
        </is>
      </c>
      <c r="M5" s="23" t="inlineStr">
        <is>
          <t>ΚΩΣΤΟΓΙΑΝΝΗΣ ΓΕΩΡΓΙΟΣ</t>
        </is>
      </c>
      <c r="N5" s="9" t="n">
        <v>8</v>
      </c>
      <c r="O5" s="9">
        <f>COUNTA(C5:M5)</f>
        <v/>
      </c>
      <c r="P5" s="9">
        <f>IF(B5="","",IF(N5=O5,"OK","ΕΛΕΓΧΟΣ"))</f>
        <v/>
      </c>
    </row>
    <row r="6">
      <c r="A6" s="15">
        <f>IF(B6="","",CHOOSE(WEEKDAY(B6,2),"Δευτέρα","Τρίτη","Τετάρτη","Πέμπτη","Παρασκευή","Σάββατο","Κυριακή"))</f>
        <v/>
      </c>
      <c r="B6" s="14">
        <f>IF(3&lt;=DAY(EOMONTH($B$1,0)),DATE(YEAR($B$1),MONTH($B$1),3),"")</f>
        <v/>
      </c>
      <c r="C6" s="18" t="inlineStr">
        <is>
          <t>ΚΑΡΑΙΣΚΑΚΗΣ ΓΕΩΡΓΙΟΣ (1ΥΠ)(ΜΟΝΟ ΚΑΘ)</t>
        </is>
      </c>
      <c r="D6" s="18" t="inlineStr">
        <is>
          <t>ΚΑΡΑΜΑΝΗΣ ΝΙΚΟΛΑΟΣ</t>
        </is>
      </c>
      <c r="E6" s="18" t="n"/>
      <c r="F6" s="18" t="n"/>
      <c r="G6" s="19" t="inlineStr">
        <is>
          <t>ΚΑΒΟΥΡΑΣ ΣΤΑΜΑΤΗΣ</t>
        </is>
      </c>
      <c r="H6" s="19" t="inlineStr">
        <is>
          <t>ΚΑΛΑΡΓΥΡΟΣ ΝΙΚΟΛΑΟΣ</t>
        </is>
      </c>
      <c r="I6" s="20" t="inlineStr">
        <is>
          <t>ΕΥΑΓΓΕΛΙΝΟΣ ΜΙΧΑΗΛ</t>
        </is>
      </c>
      <c r="J6" s="20" t="n"/>
      <c r="K6" s="21" t="inlineStr">
        <is>
          <t>ΚΑΚΟΥΡΑΣ ΓΕΩΡΓΙΟΣ</t>
        </is>
      </c>
      <c r="L6" s="22" t="inlineStr">
        <is>
          <t>ΔΟΥΜΑΝΟΓΛΟΥ ΗΛΙΑΣ</t>
        </is>
      </c>
      <c r="M6" s="23" t="inlineStr">
        <is>
          <t>ΑΒΡΑΜΗΛΑΣ ΓΕΩΡΓΙΟΣ Π. (ΟΧΙ ΜΛΣΝ)</t>
        </is>
      </c>
      <c r="N6" s="9" t="n">
        <v>8</v>
      </c>
      <c r="O6" s="9">
        <f>COUNTA(C6:M6)</f>
        <v/>
      </c>
      <c r="P6" s="9">
        <f>IF(B6="","",IF(N6=O6,"OK","ΕΛΕΓΧΟΣ"))</f>
        <v/>
      </c>
    </row>
    <row r="7">
      <c r="A7" s="15">
        <f>IF(B7="","",CHOOSE(WEEKDAY(B7,2),"Δευτέρα","Τρίτη","Τετάρτη","Πέμπτη","Παρασκευή","Σάββατο","Κυριακή"))</f>
        <v/>
      </c>
      <c r="B7" s="14">
        <f>IF(4&lt;=DAY(EOMONTH($B$1,0)),DATE(YEAR($B$1),MONTH($B$1),4),"")</f>
        <v/>
      </c>
      <c r="C7" s="18" t="inlineStr">
        <is>
          <t>ΜΑΛΤΑΣ ΓΕΩΡΓΙΟΣ</t>
        </is>
      </c>
      <c r="D7" s="18" t="inlineStr">
        <is>
          <t>ΜΗΤΣΟΥ ΜΑΡΙΟΣ ΝΑΠΟΛΕΩΝ</t>
        </is>
      </c>
      <c r="E7" s="18" t="inlineStr">
        <is>
          <t>ΜΠΑΓΚΑΣ ΠΑΡΑΣΚΕΥΑΣ</t>
        </is>
      </c>
      <c r="F7" s="18" t="n"/>
      <c r="G7" s="19" t="inlineStr">
        <is>
          <t>ΛΥΚΟΥΡΑΣ ΛΑΜΠΡΟΣ</t>
        </is>
      </c>
      <c r="H7" s="19" t="n"/>
      <c r="I7" s="20" t="inlineStr">
        <is>
          <t>ΜΑΝΩΛΟΥΔΗΣ ΣΠΥΡΙΔΩΝ</t>
        </is>
      </c>
      <c r="J7" s="20" t="inlineStr">
        <is>
          <t>ΜΠΑΡΑΛΗΣ ΗΛΙΑΣ</t>
        </is>
      </c>
      <c r="K7" s="21" t="inlineStr">
        <is>
          <t>ΑΠΟΣΤΟΛΟΥ ΚΩΝΣΤΑΝΤΙΝΟΣ</t>
        </is>
      </c>
      <c r="L7" s="22" t="inlineStr">
        <is>
          <t>ΘΕΟΦΙΛΟΓΙΑΝΝΑΚΟΣ ΒΑΣΙΛΕΙΟΣ</t>
        </is>
      </c>
      <c r="M7" s="23" t="inlineStr">
        <is>
          <t>ΧΑΤΖΗΓΕΩΡΓΙΟΥ ΔΗΜΗΤΡΙΟΣ</t>
        </is>
      </c>
      <c r="N7" s="9" t="n">
        <v>9</v>
      </c>
      <c r="O7" s="9">
        <f>COUNTA(C7:M7)</f>
        <v/>
      </c>
      <c r="P7" s="9">
        <f>IF(B7="","",IF(N7=O7,"OK","ΕΛΕΓΧΟΣ"))</f>
        <v/>
      </c>
    </row>
    <row r="8">
      <c r="A8" s="15">
        <f>IF(B8="","",CHOOSE(WEEKDAY(B8,2),"Δευτέρα","Τρίτη","Τετάρτη","Πέμπτη","Παρασκευή","Σάββατο","Κυριακή"))</f>
        <v/>
      </c>
      <c r="B8" s="14">
        <f>IF(5&lt;=DAY(EOMONTH($B$1,0)),DATE(YEAR($B$1),MONTH($B$1),5),"")</f>
        <v/>
      </c>
      <c r="C8" s="18" t="inlineStr">
        <is>
          <t>ΠΑΡΓΑΣ ΚΩΝΣΤΑΝΤΙΝΟΣ</t>
        </is>
      </c>
      <c r="D8" s="18" t="inlineStr">
        <is>
          <t>ΠΕΤΥΧΑΚΗΣ ΚΩΝΣΤΑΝΤΙΝΟΣ</t>
        </is>
      </c>
      <c r="E8" s="18" t="n"/>
      <c r="F8" s="18" t="n"/>
      <c r="G8" s="19" t="inlineStr">
        <is>
          <t>ΠΑΝΟΥΣΗΣ ΚΩΝΣΤΑΝΤΙΝΟΣ</t>
        </is>
      </c>
      <c r="H8" s="19" t="inlineStr">
        <is>
          <t>ΠΑΠΑΔΟΠΟΥΛΟΣ ΚΩΝΣΤΑΝΤΙΝΟΣ</t>
        </is>
      </c>
      <c r="I8" s="20" t="inlineStr">
        <is>
          <t>ΠΑΥΛΑΚΗΣ ΙΩΑΝΝΗΣ ΠΑΝΑΓΙΩΤΗΣ</t>
        </is>
      </c>
      <c r="J8" s="20" t="n"/>
      <c r="K8" s="21" t="inlineStr">
        <is>
          <t>ΖΑΡΜΑΚΟΥΠΗΣ ΓΕΩΡΓΙΟΣ</t>
        </is>
      </c>
      <c r="L8" s="22" t="inlineStr">
        <is>
          <t>ΘΩΜΟΠΟΥΛΟΣ ΔΗΜΗΤΡΙΟΣ (ΜΟΝΟ ΚΑΘΗΜΕΡΙΝΕΣ, ΜΠΟΡΕΙ ΚΑΙ Χ2 ΤΗΝ ΒΔΟΜΑΔΑ)</t>
        </is>
      </c>
      <c r="M8" s="23" t="inlineStr">
        <is>
          <t>ΤΣΕΛΕΠΙΔΗΣ ΣΑΒΒΑΣ</t>
        </is>
      </c>
      <c r="N8" s="9" t="n"/>
      <c r="O8" s="9">
        <f>COUNTA(C8:M8)</f>
        <v/>
      </c>
      <c r="P8" s="9">
        <f>IF(B8="","",IF(N8=O8,"OK","ΕΛΕΓΧΟΣ"))</f>
        <v/>
      </c>
    </row>
    <row r="9">
      <c r="A9" s="15">
        <f>IF(B9="","",CHOOSE(WEEKDAY(B9,2),"Δευτέρα","Τρίτη","Τετάρτη","Πέμπτη","Παρασκευή","Σάββατο","Κυριακή"))</f>
        <v/>
      </c>
      <c r="B9" s="14">
        <f>IF(6&lt;=DAY(EOMONTH($B$1,0)),DATE(YEAR($B$1),MONTH($B$1),6),"")</f>
        <v/>
      </c>
      <c r="C9" s="18" t="inlineStr">
        <is>
          <t>ΣΠΥΡΙΔΗΣ ΟΡΕΣΤΗΣ</t>
        </is>
      </c>
      <c r="D9" s="18" t="inlineStr">
        <is>
          <t>ΣΤΑΜΑΤΟΓΛΟΥ ΔΗΜΗΤΡΙΟΣ</t>
        </is>
      </c>
      <c r="E9" s="18" t="inlineStr">
        <is>
          <t>ΣΤΕΡΓΙΟΥ ΜΙΧΑΗΛ</t>
        </is>
      </c>
      <c r="F9" s="18" t="n"/>
      <c r="G9" s="19" t="inlineStr">
        <is>
          <t>ΡΑΒΑΝΗΣ ΙΩΑΝΝΗΣ</t>
        </is>
      </c>
      <c r="H9" s="19" t="n"/>
      <c r="I9" s="20" t="inlineStr">
        <is>
          <t>ΣΤΡΑΤΟΣ ΒΑΣΙΛΕΙΟΣ</t>
        </is>
      </c>
      <c r="J9" s="20" t="inlineStr">
        <is>
          <t>ΤΟΥΝΤΑΣ ΝΙΚΟΛΑΟΣ</t>
        </is>
      </c>
      <c r="K9" s="21" t="inlineStr">
        <is>
          <t>ΜΙΧΑΛΙΩΔΗΣ ΔΟΥΚΑΣ ΤΑΞΙΑΡΧΗΣ</t>
        </is>
      </c>
      <c r="L9" s="22" t="inlineStr">
        <is>
          <t>ΚΑΡΑΣΑΒΒΑΣ ΠΑΝΤΕΛΕΗΜΩΝ</t>
        </is>
      </c>
      <c r="M9" s="23" t="inlineStr">
        <is>
          <t>ΚΑΚΟΥΡΑΣ ΓΕΩΡΓΙΟΣ</t>
        </is>
      </c>
      <c r="N9" s="9" t="n"/>
      <c r="O9" s="9">
        <f>COUNTA(C9:M9)</f>
        <v/>
      </c>
      <c r="P9" s="9">
        <f>IF(B9="","",IF(N9=O9,"OK","ΕΛΕΓΧΟΣ"))</f>
        <v/>
      </c>
    </row>
    <row r="10">
      <c r="A10" s="15">
        <f>IF(B10="","",CHOOSE(WEEKDAY(B10,2),"Δευτέρα","Τρίτη","Τετάρτη","Πέμπτη","Παρασκευή","Σάββατο","Κυριακή"))</f>
        <v/>
      </c>
      <c r="B10" s="14">
        <f>IF(7&lt;=DAY(EOMONTH($B$1,0)),DATE(YEAR($B$1),MONTH($B$1),7),"")</f>
        <v/>
      </c>
      <c r="C10" s="18" t="inlineStr">
        <is>
          <t>ΦΙΝΕΣ ΛΟΥΚΑΣ</t>
        </is>
      </c>
      <c r="D10" s="18" t="inlineStr">
        <is>
          <t>ΧΙΟΝΑΣ ΔΗΜΗΤΡΙΟΣ</t>
        </is>
      </c>
      <c r="E10" s="18" t="inlineStr">
        <is>
          <t>ΧΡΥΣΑΝΘΟΣ ΑΝΤΩΝΙΟΣ ΔΑΛΕΖΙΟΣ</t>
        </is>
      </c>
      <c r="F10" s="18" t="n"/>
      <c r="G10" s="19" t="inlineStr">
        <is>
          <t>ΦΕΡΓΑΔΗΣ ΚΩΝΣΤΑΝΤΙΝΟΣ</t>
        </is>
      </c>
      <c r="H10" s="19" t="n"/>
      <c r="I10" s="20" t="inlineStr">
        <is>
          <t>ΧΟΣΑΦΙ ΑΡΜΠΗ</t>
        </is>
      </c>
      <c r="J10" s="20" t="n"/>
      <c r="K10" s="21" t="inlineStr">
        <is>
          <t>ΣΑΓΙΑΝΝΗΣ ΓΕΩΡΓΙΟΣ</t>
        </is>
      </c>
      <c r="L10" s="22" t="inlineStr">
        <is>
          <t>ΕΛΜΑΛΙΚΛΗΣ ΔΗΜΗΤΡΙΟΣ</t>
        </is>
      </c>
      <c r="M10" s="23" t="inlineStr">
        <is>
          <t>ΜΑΣΟΥΡΗΣ ΚΩΝΣΤΑΝΤΙΝΟΣ</t>
        </is>
      </c>
      <c r="N10" s="9" t="n"/>
      <c r="O10" s="9">
        <f>COUNTA(C10:M10)</f>
        <v/>
      </c>
      <c r="P10" s="9">
        <f>IF(B10="","",IF(N10=O10,"OK","ΕΛΕΓΧΟΣ"))</f>
        <v/>
      </c>
    </row>
    <row r="11">
      <c r="A11" s="15">
        <f>IF(B11="","",CHOOSE(WEEKDAY(B11,2),"Δευτέρα","Τρίτη","Τετάρτη","Πέμπτη","Παρασκευή","Σάββατο","Κυριακή"))</f>
        <v/>
      </c>
      <c r="B11" s="14">
        <f>IF(8&lt;=DAY(EOMONTH($B$1,0)),DATE(YEAR($B$1),MONTH($B$1),8),"")</f>
        <v/>
      </c>
      <c r="C11" s="18" t="inlineStr">
        <is>
          <t>ΓΑΡΓΑΛΗΣ ΒΑΣΙΛΕΙΟΣ 1-2 ΜΗΝΑ</t>
        </is>
      </c>
      <c r="D11" s="18" t="inlineStr">
        <is>
          <t>ΔΟΥΜΑΝΟΓΛΟΥ ΗΛΙΑΣ</t>
        </is>
      </c>
      <c r="E11" s="18" t="inlineStr">
        <is>
          <t>ΚΑΤΣΑΡΑΣ ΒΑΣΙΛΕΙΟΣ</t>
        </is>
      </c>
      <c r="F11" s="18" t="n"/>
      <c r="G11" s="19" t="inlineStr">
        <is>
          <t>ΓΚΙΟΝΑΙ ΟΡΕΣΤΗ</t>
        </is>
      </c>
      <c r="H11" s="19" t="n"/>
      <c r="I11" t="inlineStr">
        <is>
          <t>ΚΟΥΛΟΠΟΥΛΟΣ ΓΕΡΑΣΙΜΟΣ</t>
        </is>
      </c>
      <c r="J11" s="20" t="n"/>
      <c r="K11" s="23" t="inlineStr">
        <is>
          <t>ΝΑΥΤΗΣ ΑΝΑΣΤΑΣΙΟΣ (Ι4 ΒΑΥΔΜ)</t>
        </is>
      </c>
      <c r="L11" s="22" t="inlineStr">
        <is>
          <t>ΚΙΝΙΝΗΣ ΔΗΜΗΤΡΙΟΣ</t>
        </is>
      </c>
      <c r="M11" s="23" t="inlineStr">
        <is>
          <t>ΑΠΟΣΤΟΛΟΥ ΚΩΝΣΤΑΝΤΙΝΟΣ</t>
        </is>
      </c>
      <c r="N11" s="9" t="n">
        <v>9</v>
      </c>
      <c r="O11" s="9">
        <f>COUNTA(C11:M11)</f>
        <v/>
      </c>
      <c r="P11" s="9">
        <f>IF(B11="","",IF(N11=O11,"OK","ΕΛΕΓΧΟΣ"))</f>
        <v/>
      </c>
    </row>
    <row r="12">
      <c r="A12" s="15">
        <f>IF(B12="","",CHOOSE(WEEKDAY(B12,2),"Δευτέρα","Τρίτη","Τετάρτη","Πέμπτη","Παρασκευή","Σάββατο","Κυριακή"))</f>
        <v/>
      </c>
      <c r="B12" s="14">
        <f>IF(9&lt;=DAY(EOMONTH($B$1,0)),DATE(YEAR($B$1),MONTH($B$1),9),"")</f>
        <v/>
      </c>
      <c r="C12" s="18" t="inlineStr">
        <is>
          <t>ΠΑΠΑΓΕΩΡΓΙΟΥ ΛΟΥΚΑΣ ΑΛΕΞΑΝΔΡΟΣ 1-2 ΜΗΝΑ</t>
        </is>
      </c>
      <c r="D12" s="18" t="inlineStr">
        <is>
          <t>ΠΑΡΑΣΧΑΚΗΣ ΔΗΜΗΤΡΙΟΣ</t>
        </is>
      </c>
      <c r="E12" s="18" t="inlineStr">
        <is>
          <t>ΠΟΤΟΛΙΑΣ ΑΝΑΣΤΑΣΙΟΣ</t>
        </is>
      </c>
      <c r="F12" s="18" t="n"/>
      <c r="G12" s="19" t="inlineStr">
        <is>
          <t>ΚΑΤΣΕΝΙΟΣ ΑΘΑΝ. 1 ΕΤΑΦ 3 ΒΑΥΔΜ</t>
        </is>
      </c>
      <c r="H12" s="19" t="n"/>
      <c r="I12" s="20" t="inlineStr">
        <is>
          <t>ΜΠΕΛΗΣ ΑΧΙΛΛΕΑΣ</t>
        </is>
      </c>
      <c r="J12" s="20" t="inlineStr">
        <is>
          <t>ΠΑΠΑΘΑΝΑΣΙΟΥ ΑΛΕΞΑΝΔΡΟΣ</t>
        </is>
      </c>
      <c r="K12" s="21" t="inlineStr">
        <is>
          <t>ΧΑΤΖΗΓΕΩΡΓΙΟΥ ΔΗΜΗΤΡΙΟΣ</t>
        </is>
      </c>
      <c r="L12" s="22" t="inlineStr">
        <is>
          <t>ΜΙΧΑΛΙΩΔΗΣ ΔΟΥΚΑΣ ΤΑΞΙΑΡΧΗΣ</t>
        </is>
      </c>
      <c r="M12" s="23" t="inlineStr">
        <is>
          <t>ΓΙΑΝΝΑΚΟΠΟΥΛΟΣ ΑΛΕΞΑΝΔΡΟΣ</t>
        </is>
      </c>
      <c r="N12" s="9" t="n"/>
      <c r="O12" s="9">
        <f>COUNTA(C12:M12)</f>
        <v/>
      </c>
      <c r="P12" s="9">
        <f>IF(B12="","",IF(N12=O12,"OK","ΕΛΕΓΧΟΣ"))</f>
        <v/>
      </c>
    </row>
    <row r="13">
      <c r="A13" s="15">
        <f>IF(B13="","",CHOOSE(WEEKDAY(B13,2),"Δευτέρα","Τρίτη","Τετάρτη","Πέμπτη","Παρασκευή","Σάββατο","Κυριακή"))</f>
        <v/>
      </c>
      <c r="B13" s="14">
        <f>IF(10&lt;=DAY(EOMONTH($B$1,0)),DATE(YEAR($B$1),MONTH($B$1),10),"")</f>
        <v/>
      </c>
      <c r="C13" s="18" t="inlineStr">
        <is>
          <t>ΣΠΥΡΟΠΟΥΛΟΣ ΔΙΟΝΥΣΙΟΣ</t>
        </is>
      </c>
      <c r="D13" s="18" t="inlineStr">
        <is>
          <t>ΤΡΙΑΝΤΑΦΥΛΛΟΥ ΦΡΑΓΚΙΣΚΟΣ</t>
        </is>
      </c>
      <c r="E13" s="18" t="n"/>
      <c r="F13" s="18" t="n"/>
      <c r="G13" s="19" t="inlineStr">
        <is>
          <t>ΜΠΑΖΑΝΗΣ ΘΩΜΑΣ ΝΙΚΟΛΑΟΣ (ΚΑΘ ΠΡΟΤΙΜΗΣΗ)</t>
        </is>
      </c>
      <c r="H13" s="19" t="inlineStr">
        <is>
          <t>ΠΑΠΠΑΣ ΕΛΕΥΘΕΡΙΟΣ</t>
        </is>
      </c>
      <c r="I13" s="20" t="inlineStr">
        <is>
          <t>ΤΖΙΩΤΑΚΗΣ ΓΕΩΡΓΙΟΣ</t>
        </is>
      </c>
      <c r="J13" s="20" t="n"/>
      <c r="K13" s="21" t="inlineStr">
        <is>
          <t>ΚΑΚΟΥΡΑΣ ΓΕΩΡΓΙΟΣ</t>
        </is>
      </c>
      <c r="L13" s="22" t="inlineStr">
        <is>
          <t>ΜΠΟΥΚΟΥΡΑΣ ΕΠΑΜΕΙΝΩΝΔΑΣ</t>
        </is>
      </c>
      <c r="M13" s="23" t="inlineStr">
        <is>
          <t>ΕΛΕΥΘΕΡΙΟΥ ΑΝΤΩΝΙΟΣ</t>
        </is>
      </c>
      <c r="N13" s="9" t="n"/>
      <c r="O13" s="9">
        <f>COUNTA(C13:M13)</f>
        <v/>
      </c>
      <c r="P13" s="9">
        <f>IF(B13="","",IF(N13=O13,"OK","ΕΛΕΓΧΟΣ"))</f>
        <v/>
      </c>
    </row>
    <row r="14">
      <c r="A14" s="15">
        <f>IF(B14="","",CHOOSE(WEEKDAY(B14,2),"Δευτέρα","Τρίτη","Τετάρτη","Πέμπτη","Παρασκευή","Σάββατο","Κυριακή"))</f>
        <v/>
      </c>
      <c r="B14" s="14">
        <f>IF(11&lt;=DAY(EOMONTH($B$1,0)),DATE(YEAR($B$1),MONTH($B$1),11),"")</f>
        <v/>
      </c>
      <c r="C14" s="18" t="inlineStr">
        <is>
          <t>ΜΠΑΡΑΛΗΣ ΗΛΙΑΣ</t>
        </is>
      </c>
      <c r="D14" s="18" t="inlineStr">
        <is>
          <t>ΑΛΕΞΑΝΔΡΑΚΗΣ ΠΑΝΑΓΙΩΤΗΣ</t>
        </is>
      </c>
      <c r="E14" s="18" t="inlineStr">
        <is>
          <t>ΔΑΡΜΑΡΑΚΗΣ ΠΑΝΑΓΙΩΤΗΣ (ΜΟΝΟ ΚΑΘΗΜ)</t>
        </is>
      </c>
      <c r="F14" s="18" t="n"/>
      <c r="G14" s="19" t="inlineStr">
        <is>
          <t>ΑΠΟΣΤΟΛΟΥ ΚΩΝΣΤΑΝΤΙΝΟΣ</t>
        </is>
      </c>
      <c r="H14" s="19" t="n"/>
      <c r="I14" s="20" t="inlineStr">
        <is>
          <t>ΣΙΑΓΚΑΣ ΑΘΑΝΑΣΙΟΣ</t>
        </is>
      </c>
      <c r="J14" s="20" t="inlineStr">
        <is>
          <t>ΒΑΣΙΛΟΠΟΥΛΟΣ ΧΡΥΣΟΒΑΛΆΝΤΗΣ</t>
        </is>
      </c>
      <c r="K14" s="21" t="inlineStr">
        <is>
          <t>ΚΥΡΙΑΚΙΔΗΣ ΧΡΗΣΤΟΣ</t>
        </is>
      </c>
      <c r="L14" s="22" t="inlineStr">
        <is>
          <t>ΠΗΓΑΚΗΣ ΝΙΚΟΛΑΟΣ ΜΙΧΑΗΛ (Ι2) (ΤΡΙΤΗ-ΤΕΤΑΡΤΗ)</t>
        </is>
      </c>
      <c r="M14" s="23" t="inlineStr">
        <is>
          <t>ΚΑΛΑΡΓΥΡΟΣ ΝΙΚΟΛΑΟΣ</t>
        </is>
      </c>
      <c r="N14" s="9" t="n"/>
      <c r="O14" s="9">
        <f>COUNTA(C14:M14)</f>
        <v/>
      </c>
      <c r="P14" s="9">
        <f>IF(B14="","",IF(N14=O14,"OK","ΕΛΕΓΧΟΣ"))</f>
        <v/>
      </c>
    </row>
    <row r="15">
      <c r="A15" s="15">
        <f>IF(B15="","",CHOOSE(WEEKDAY(B15,2),"Δευτέρα","Τρίτη","Τετάρτη","Πέμπτη","Παρασκευή","Σάββατο","Κυριακή"))</f>
        <v/>
      </c>
      <c r="B15" s="14">
        <f>IF(12&lt;=DAY(EOMONTH($B$1,0)),DATE(YEAR($B$1),MONTH($B$1),12),"")</f>
        <v/>
      </c>
      <c r="C15" s="18" t="inlineStr">
        <is>
          <t>ΣΤΑΜΟΥ ΙΩΑΝΝΗΣ</t>
        </is>
      </c>
      <c r="D15" s="18" t="inlineStr">
        <is>
          <t>ΕΥΑΓΓΕΛΙΝΟΣ ΜΙΧΑΗΛ</t>
        </is>
      </c>
      <c r="E15" s="18" t="n"/>
      <c r="F15" s="18" t="n"/>
      <c r="G15" s="19" t="inlineStr">
        <is>
          <t>ΓΙΑΝΝΑΚΟΠΟΥΛΟΣ ΑΛΕΞΑΝΔΡΟΣ</t>
        </is>
      </c>
      <c r="H15" s="19" t="inlineStr">
        <is>
          <t>ΚΑΡΑΚΩΣΤΑΣ ΧΑΡΑΛΑΜΠΟΣ</t>
        </is>
      </c>
      <c r="I15" s="20" t="inlineStr">
        <is>
          <t>ΔΑΣΟΥΛΑΣ ΓΕΩΡΓΙΟΣ</t>
        </is>
      </c>
      <c r="J15" s="20" t="n"/>
      <c r="K15" s="21" t="inlineStr">
        <is>
          <t>ΜΗΤΣΟΥ ΜΑΡΙΟΣ ΝΑΠΟΛΕΩΝ</t>
        </is>
      </c>
      <c r="L15" s="22" t="inlineStr">
        <is>
          <t>ΣΑΓΙΑΝΝΗΣ ΓΕΩΡΓΙΟΣ</t>
        </is>
      </c>
      <c r="M15" s="23" t="inlineStr">
        <is>
          <t>ΛΥΚΟΥΡΑΣ ΛΑΜΠΡΟΣ</t>
        </is>
      </c>
      <c r="N15" s="9" t="n"/>
      <c r="O15" s="9">
        <f>COUNTA(C15:M15)</f>
        <v/>
      </c>
      <c r="P15" s="9">
        <f>IF(B15="","",IF(N15=O15,"OK","ΕΛΕΓΧΟΣ"))</f>
        <v/>
      </c>
    </row>
    <row r="16">
      <c r="A16" s="15">
        <f>IF(B16="","",CHOOSE(WEEKDAY(B16,2),"Δευτέρα","Τρίτη","Τετάρτη","Πέμπτη","Παρασκευή","Σάββατο","Κυριακή"))</f>
        <v/>
      </c>
      <c r="B16" s="14">
        <f>IF(13&lt;=DAY(EOMONTH($B$1,0)),DATE(YEAR($B$1),MONTH($B$1),13),"")</f>
        <v/>
      </c>
      <c r="C16" s="18" t="inlineStr">
        <is>
          <t>ΕΛΕΥΘΕΡΙΟΥ ΑΝΤΩΝΙΟΣ</t>
        </is>
      </c>
      <c r="D16" s="18" t="inlineStr">
        <is>
          <t>ΠΑΝΟΥΣΗΣ ΚΩΝΣΤΑΝΤΙΝΟΣ</t>
        </is>
      </c>
      <c r="E16" s="18" t="inlineStr">
        <is>
          <t>ΣΤΡΑΤΟΣ ΒΑΣΙΛΕΙΟΣ</t>
        </is>
      </c>
      <c r="F16" s="18" t="n"/>
      <c r="G16" s="19" t="inlineStr">
        <is>
          <t>ΛΥΜΠΕΡΑΤΟΣ ΑΝΔΡΕΑΣ (ΟΧΙ ΣΚ) (ΣΤΗΝ ΑΝΑΓΚΗ 1 ΒΑΥΔΜ ΣΚ)</t>
        </is>
      </c>
      <c r="H16" s="19" t="n"/>
      <c r="I16" s="20" t="inlineStr">
        <is>
          <t>ΧΕΙΡΔΑΡΗΣ ΚΩΝΣΤΑΝΤΙΝΟΣ</t>
        </is>
      </c>
      <c r="J16" s="20" t="inlineStr">
        <is>
          <t>ΣΠΥΡΙΔΗΣ ΟΡΕΣΤΗΣ</t>
        </is>
      </c>
      <c r="K16" s="21" t="inlineStr">
        <is>
          <t>ΒΕΪΟΓΛΑΝΗΣ ΙΩΑΝΝΗΣ (ΒΑΥΔΜ)</t>
        </is>
      </c>
      <c r="L16" s="22" t="inlineStr">
        <is>
          <t>ΣΤΑΜΑΤΟΓΛΟΥ ΔΗΜΗΤΡΙΟΣ</t>
        </is>
      </c>
      <c r="M16" s="23" t="inlineStr">
        <is>
          <t>ΜΑΝΩΛΟΥΔΗΣ ΣΠΥΡΙΔΩΝ</t>
        </is>
      </c>
      <c r="N16" s="9" t="n"/>
      <c r="O16" s="9">
        <f>COUNTA(C16:M16)</f>
        <v/>
      </c>
      <c r="P16" s="9">
        <f>IF(B16="","",IF(N16=O16,"OK","ΕΛΕΓΧΟΣ"))</f>
        <v/>
      </c>
    </row>
    <row r="17">
      <c r="A17" s="15">
        <f>IF(B17="","",CHOOSE(WEEKDAY(B17,2),"Δευτέρα","Τρίτη","Τετάρτη","Πέμπτη","Παρασκευή","Σάββατο","Κυριακή"))</f>
        <v/>
      </c>
      <c r="B17" s="14">
        <f>IF(14&lt;=DAY(EOMONTH($B$1,0)),DATE(YEAR($B$1),MONTH($B$1),14),"")</f>
        <v/>
      </c>
      <c r="C17" s="18" t="inlineStr">
        <is>
          <t>ΜΥΡΤΑ ΡΕΝΑΤΟ</t>
        </is>
      </c>
      <c r="D17" s="18" t="inlineStr">
        <is>
          <t>ΣΑΡΑΚΙΝΤΣΗΣ ΜΑΡΙΟΣ</t>
        </is>
      </c>
      <c r="E17" s="18" t="inlineStr">
        <is>
          <t>ΜΙΧΑΛΙΩΔΗΣ ΔΟΥΚΑΣ ΤΑΞΙΑΡΧΗΣ</t>
        </is>
      </c>
      <c r="F17" s="18" t="n"/>
      <c r="G17" s="19" t="inlineStr">
        <is>
          <t>ΜΑΣΟΥΡΗΣ ΚΩΝΣΤΑΝΤΙΝΟΣ</t>
        </is>
      </c>
      <c r="H17" s="19" t="n"/>
      <c r="I17" s="20" t="inlineStr">
        <is>
          <t>ΒΛΑΧΟΣ ΜΑΡΙΟΣ</t>
        </is>
      </c>
      <c r="J17" s="20" t="n"/>
      <c r="K17" s="21" t="inlineStr">
        <is>
          <t>ΚΑΛΑΡΓΥΡΟΣ ΝΙΚΟΛΑΟΣ</t>
        </is>
      </c>
      <c r="L17" s="22" t="inlineStr">
        <is>
          <t>ΣΑΡΑΚΙΝΤΣΗΣ ΣΤΥΛΙΑΝΟΣ</t>
        </is>
      </c>
      <c r="M17" s="23" t="inlineStr">
        <is>
          <t>ΜΠΑΡΑΛΗΣ ΗΛΙΑΣ</t>
        </is>
      </c>
      <c r="N17" s="9" t="n"/>
      <c r="O17" s="9">
        <f>COUNTA(C17:M17)</f>
        <v/>
      </c>
      <c r="P17" s="9">
        <f>IF(B17="","",IF(N17=O17,"OK","ΕΛΕΓΧΟΣ"))</f>
        <v/>
      </c>
    </row>
    <row r="18">
      <c r="A18" s="15">
        <f>IF(B18="","",CHOOSE(WEEKDAY(B18,2),"Δευτέρα","Τρίτη","Τετάρτη","Πέμπτη","Παρασκευή","Σάββατο","Κυριακή"))</f>
        <v/>
      </c>
      <c r="B18" s="14">
        <f>IF(15&lt;=DAY(EOMONTH($B$1,0)),DATE(YEAR($B$1),MONTH($B$1),15),"")</f>
        <v/>
      </c>
      <c r="C18" s="18" t="inlineStr">
        <is>
          <t>ΔΙΑΜΑΝΤΟΠΟΥΛΟΣ ΑΝΔΡΕΑΣ (ΣΚ)</t>
        </is>
      </c>
      <c r="D18" s="18" t="inlineStr">
        <is>
          <t>ΚΑΡΑΣΑΒΒΑΣ ΠΑΝΤΕΛΕΗΜΩΝ</t>
        </is>
      </c>
      <c r="E18" s="18" t="inlineStr">
        <is>
          <t>ΡΟΥΣΚΑΣ ΔΗΜΗΤΡΙΟΣ</t>
        </is>
      </c>
      <c r="F18" s="18" t="n"/>
      <c r="G18" s="19" t="inlineStr">
        <is>
          <t>ΑΛΕΞΑΝΔΡΙΔΗΣ ΣΤΑΥΡΟΣ</t>
        </is>
      </c>
      <c r="H18" s="19" t="n"/>
      <c r="I18" s="20" t="inlineStr">
        <is>
          <t>ΠΛΕΜΜΕΝΟΣ ΠΡΟΔΡΟΜΟΣ</t>
        </is>
      </c>
      <c r="J18" s="20" t="n"/>
      <c r="K18" s="21" t="inlineStr">
        <is>
          <t>ΠΑΣΤΡΑΣ ΑΓΓΕΛΟΣ (ΒΑΥΔΜ)</t>
        </is>
      </c>
      <c r="L18" s="22" t="inlineStr">
        <is>
          <t>ΤΖΙΩΤΑΚΗΣ ΓΕΩΡΓΙΟΣ</t>
        </is>
      </c>
      <c r="M18" s="23" t="inlineStr">
        <is>
          <t>ΠΑΠΑΔΟΠΟΥΛΟΣ ΚΩΝΣΤΑΝΤΙΝΟΣ</t>
        </is>
      </c>
      <c r="N18" s="9" t="n"/>
      <c r="O18" s="9">
        <f>COUNTA(C18:M18)</f>
        <v/>
      </c>
      <c r="P18" s="9">
        <f>IF(B18="","",IF(N18=O18,"OK","ΕΛΕΓΧΟΣ"))</f>
        <v/>
      </c>
    </row>
    <row r="19">
      <c r="A19" s="15">
        <f>IF(B19="","",CHOOSE(WEEKDAY(B19,2),"Δευτέρα","Τρίτη","Τετάρτη","Πέμπτη","Παρασκευή","Σάββατο","Κυριακή"))</f>
        <v/>
      </c>
      <c r="B19" s="14">
        <f>IF(16&lt;=DAY(EOMONTH($B$1,0)),DATE(YEAR($B$1),MONTH($B$1),16),"")</f>
        <v/>
      </c>
      <c r="C19" s="18" t="inlineStr">
        <is>
          <t>ΜΠΟΥΚΟΥΡΑΣ ΕΠΑΜΕΙΝΩΝΔΑΣ</t>
        </is>
      </c>
      <c r="D19" s="18" t="inlineStr">
        <is>
          <t>ΣΤΑΜΑΤΟΓΛΟΥ ΔΗΜΗΤΡΙΟΣ</t>
        </is>
      </c>
      <c r="E19" s="18" t="inlineStr">
        <is>
          <t>ΦΙΝΕΣ ΛΟΥΚΑΣ</t>
        </is>
      </c>
      <c r="F19" s="18" t="n"/>
      <c r="G19" s="19" t="inlineStr">
        <is>
          <t>ΣΤΕΡΓΙΟΥ ΜΙΧΑΗΛ</t>
        </is>
      </c>
      <c r="H19" s="19" t="n"/>
      <c r="I19" s="20" t="inlineStr">
        <is>
          <t>ΚΙΝΙΝΗΣ ΔΗΜΗΤΡΙΟΣ</t>
        </is>
      </c>
      <c r="J19" s="20" t="inlineStr">
        <is>
          <t>ΑΓΓΕΛΟΓΙΑΝΝΟΠΟΥΛΟΣ ΜΑΡΙΟΣ</t>
        </is>
      </c>
      <c r="K19" s="21" t="inlineStr">
        <is>
          <t>ΧΙΟΝΑΣ ΔΗΜΗΤΡΙΟΣ</t>
        </is>
      </c>
      <c r="L19" s="22" t="inlineStr">
        <is>
          <t>ΑΠΟΣΤΟΛΟΥ ΚΩΝΣΤΑΝΤΙΝΟΣ</t>
        </is>
      </c>
      <c r="M19" s="23" t="inlineStr">
        <is>
          <t>ΠΑΠΑΘΑΝΑΣΙΟΥ ΑΛΕΞΑΝΔΡΟΣ</t>
        </is>
      </c>
      <c r="N19" s="9" t="n"/>
      <c r="O19" s="9">
        <f>COUNTA(C19:M19)</f>
        <v/>
      </c>
      <c r="P19" s="9">
        <f>IF(B19="","",IF(N19=O19,"OK","ΕΛΕΓΧΟΣ"))</f>
        <v/>
      </c>
    </row>
    <row r="20">
      <c r="A20" s="15">
        <f>IF(B20="","",CHOOSE(WEEKDAY(B20,2),"Δευτέρα","Τρίτη","Τετάρτη","Πέμπτη","Παρασκευή","Σάββατο","Κυριακή"))</f>
        <v/>
      </c>
      <c r="B20" s="14">
        <f>IF(17&lt;=DAY(EOMONTH($B$1,0)),DATE(YEAR($B$1),MONTH($B$1),17),"")</f>
        <v/>
      </c>
      <c r="C20" s="18" t="inlineStr">
        <is>
          <t>ΘΕΟΦΙΛΟΓΙΑΝΝΑΚΟΣ ΒΑΣΙΛΕΙΟΣ</t>
        </is>
      </c>
      <c r="D20" s="18" t="inlineStr">
        <is>
          <t>ΖΑΡΜΑΚΟΥΠΗΣ ΓΕΩΡΓΙΟΣ</t>
        </is>
      </c>
      <c r="E20" s="18" t="n"/>
      <c r="F20" s="18" t="n"/>
      <c r="G20" s="19" t="inlineStr">
        <is>
          <t>ΓΑΡΓΑΛΗΣ ΒΑΣΙΛΕΙΟΣ 1-2 ΜΗΝΑ</t>
        </is>
      </c>
      <c r="H20" s="19" t="inlineStr">
        <is>
          <t>ΧΟΣΑΦΙ ΑΡΜΠΗ</t>
        </is>
      </c>
      <c r="I20" s="20" t="inlineStr">
        <is>
          <t>ΜΑΝΩΛΟΥΔΗΣ ΣΠΥΡΙΔΩΝ</t>
        </is>
      </c>
      <c r="J20" s="20" t="n"/>
      <c r="K20" t="inlineStr">
        <is>
          <t>ΤΣΟΡΩΤΑΣ ΧΑΡΑΛΑΜΠΟΣ (Ι3 ΑΟΠΛΟ)</t>
        </is>
      </c>
      <c r="L20" s="22" t="inlineStr">
        <is>
          <t>ΔΟΥΜΑΝΟΓΛΟΥ ΗΛΙΑΣ</t>
        </is>
      </c>
      <c r="M20" s="23" t="inlineStr">
        <is>
          <t>ΠΑΡΑΣΧΑΚΗΣ ΔΗΜΗΤΡΙΟΣ</t>
        </is>
      </c>
      <c r="N20" s="9" t="n"/>
      <c r="O20" s="9">
        <f>COUNTA(C20:M20)</f>
        <v/>
      </c>
      <c r="P20" s="9">
        <f>IF(B20="","",IF(N20=O20,"OK","ΕΛΕΓΧΟΣ"))</f>
        <v/>
      </c>
    </row>
    <row r="21">
      <c r="A21" s="15">
        <f>IF(B21="","",CHOOSE(WEEKDAY(B21,2),"Δευτέρα","Τρίτη","Τετάρτη","Πέμπτη","Παρασκευή","Σάββατο","Κυριακή"))</f>
        <v/>
      </c>
      <c r="B21" s="14">
        <f>IF(18&lt;=DAY(EOMONTH($B$1,0)),DATE(YEAR($B$1),MONTH($B$1),18),"")</f>
        <v/>
      </c>
      <c r="C21" s="18" t="inlineStr">
        <is>
          <t>ΣΠΥΡΟΠΟΥΛΟΣ ΔΙΟΝΥΣΙΟΣ</t>
        </is>
      </c>
      <c r="D21" s="18" t="inlineStr">
        <is>
          <t>ΕΛΜΑΛΙΚΛΗΣ ΔΗΜΗΤΡΙΟΣ</t>
        </is>
      </c>
      <c r="E21" s="18" t="inlineStr">
        <is>
          <t>ΒΑΣΙΛΟΠΟΥΛΟΣ ΧΡΥΣΟΒΑΛΆΝΤΗΣ</t>
        </is>
      </c>
      <c r="F21" s="18" t="n"/>
      <c r="G21" s="19" t="inlineStr">
        <is>
          <t>ΓΙΑΝΝΟΓΛΟΥ ΠΑΡΘΕΝΙΟΣ ΑΓΓΕΛΟΣ</t>
        </is>
      </c>
      <c r="H21" s="19" t="n"/>
      <c r="I21" s="20" t="inlineStr">
        <is>
          <t>ΚΤΕΝΑΣ ΘΩΜΑΣ (ΜΟΝΟ ΚΑΘΗΜ)</t>
        </is>
      </c>
      <c r="J21" s="20" t="inlineStr">
        <is>
          <t>ΚΩΝΣΤΑΝΤΙΝΙΔΗΣ ΙΩΑΝΝΗΣ</t>
        </is>
      </c>
      <c r="K21" s="21" t="inlineStr">
        <is>
          <t>ΠΙΕΡΡΟΣ ΠΑΝΑΓΙΩΤΗΣ (Ι2)</t>
        </is>
      </c>
      <c r="L21" s="22" t="inlineStr">
        <is>
          <t>ΛΥΚΟΥΡΑΣ ΛΑΜΠΡΟΣ</t>
        </is>
      </c>
      <c r="M21" s="23" t="inlineStr">
        <is>
          <t>ΠΛΕΜΜΕΝΟΣ ΠΡΟΔΡΟΜΟΣ</t>
        </is>
      </c>
      <c r="N21" s="9" t="n"/>
      <c r="O21" s="9">
        <f>COUNTA(C21:M21)</f>
        <v/>
      </c>
      <c r="P21" s="9">
        <f>IF(B21="","",IF(N21=O21,"OK","ΕΛΕΓΧΟΣ"))</f>
        <v/>
      </c>
    </row>
    <row r="22">
      <c r="A22" s="15">
        <f>IF(B22="","",CHOOSE(WEEKDAY(B22,2),"Δευτέρα","Τρίτη","Τετάρτη","Πέμπτη","Παρασκευή","Σάββατο","Κυριακή"))</f>
        <v/>
      </c>
      <c r="B22" s="14">
        <f>IF(19&lt;=DAY(EOMONTH($B$1,0)),DATE(YEAR($B$1),MONTH($B$1),19),"")</f>
        <v/>
      </c>
      <c r="C22" s="18" t="inlineStr">
        <is>
          <t>ΘΩΜΟΠΟΥΛΟΣ ΔΗΜΗΤΡΙΟΣ (ΜΟΝΟ ΚΑΘΗΜΕΡΙΝΕΣ, ΜΠΟΡΕΙ ΚΑΙ Χ2 ΤΗΝ ΒΔΟΜΑΔΑ)</t>
        </is>
      </c>
      <c r="D22" s="18" t="inlineStr">
        <is>
          <t>ΣΤΑΜΟΥ ΙΩΑΝΝΗΣ</t>
        </is>
      </c>
      <c r="E22" s="18" t="n"/>
      <c r="F22" s="18" t="n"/>
      <c r="G22" s="19" t="inlineStr">
        <is>
          <t>ΦΕΡΓΑΔΗΣ ΚΩΝΣΤΑΝΤΙΝΟΣ</t>
        </is>
      </c>
      <c r="H22" s="19" t="inlineStr">
        <is>
          <t>ΜΠΑΡΑΛΗΣ ΗΛΙΑΣ</t>
        </is>
      </c>
      <c r="I22" s="20" t="inlineStr">
        <is>
          <t>ΣΑΡΑΚΙΝΤΣΗΣ ΣΤΥΛΙΑΝΟΣ</t>
        </is>
      </c>
      <c r="J22" s="20" t="n"/>
      <c r="K22" s="21" t="inlineStr">
        <is>
          <t>ΧΑΤΖΗΠΑΝΤΕΛΗΣ ΘΕΟΔΩΡΟΣ ΣΤΥΛΙΑΝΟΣ (ΜΟΝΟ ΒΑΥΔΜ)</t>
        </is>
      </c>
      <c r="L22" s="22" t="inlineStr">
        <is>
          <t>ΜΙΧΑΛΙΩΔΗΣ ΔΟΥΚΑΣ ΤΑΞΙΑΡΧΗΣ</t>
        </is>
      </c>
      <c r="M22" s="23" t="inlineStr">
        <is>
          <t>ΡΑΒΑΝΗΣ ΙΩΑΝΝΗΣ</t>
        </is>
      </c>
      <c r="N22" s="9" t="n"/>
      <c r="O22" s="9">
        <f>COUNTA(C22:M22)</f>
        <v/>
      </c>
      <c r="P22" s="9">
        <f>IF(B22="","",IF(N22=O22,"OK","ΕΛΕΓΧΟΣ"))</f>
        <v/>
      </c>
    </row>
    <row r="23">
      <c r="A23" s="15">
        <f>IF(B23="","",CHOOSE(WEEKDAY(B23,2),"Δευτέρα","Τρίτη","Τετάρτη","Πέμπτη","Παρασκευή","Σάββατο","Κυριακή"))</f>
        <v/>
      </c>
      <c r="B23" s="14">
        <f>IF(20&lt;=DAY(EOMONTH($B$1,0)),DATE(YEAR($B$1),MONTH($B$1),20),"")</f>
        <v/>
      </c>
      <c r="C23" s="18" t="inlineStr">
        <is>
          <t>ΜΗΤΣΟΥ ΜΑΡΙΟΣ ΝΑΠΟΛΕΩΝ</t>
        </is>
      </c>
      <c r="D23" s="18" t="inlineStr">
        <is>
          <t>ΦΟΥΝΤΟΡΑΔΑΚΗΣ ΙΩΣΗΦ (ΠΡΟΤΙΜΗΣΗ ΠΑΡΑΣΚΕΥΗ)</t>
        </is>
      </c>
      <c r="E23" s="18" t="inlineStr">
        <is>
          <t>ΔΟΥΜΑΝΟΓΛΟΥ ΗΛΙΑΣ</t>
        </is>
      </c>
      <c r="F23" s="18" t="n"/>
      <c r="G23" s="19" t="inlineStr">
        <is>
          <t>ΕΥΑΓΓΕΛΙΝΟΣ ΜΙΧΑΗΛ</t>
        </is>
      </c>
      <c r="H23" s="19" t="n"/>
      <c r="I23" s="20" t="inlineStr">
        <is>
          <t>ΑΠΟΣΤΟΛΟΥ ΚΩΝΣΤΑΝΤΙΝΟΣ</t>
        </is>
      </c>
      <c r="J23" s="20" t="inlineStr">
        <is>
          <t>ΧΑΤΖΗΓΕΩΡΓΙΟΥ ΔΗΜΗΤΡΙΟΣ</t>
        </is>
      </c>
      <c r="K23" s="21" t="inlineStr">
        <is>
          <t>ΣΠΥΡΙΔΗΣ ΟΡΕΣΤΗΣ</t>
        </is>
      </c>
      <c r="L23" s="22" t="inlineStr">
        <is>
          <t>ΣΑΓΙΑΝΝΗΣ ΓΕΩΡΓΙΟΣ</t>
        </is>
      </c>
      <c r="M23" s="23" t="inlineStr">
        <is>
          <t>ΣΤΡΑΤΟΣ ΒΑΣΙΛΕΙΟΣ</t>
        </is>
      </c>
      <c r="N23" s="9" t="n"/>
      <c r="O23" s="9">
        <f>COUNTA(C23:M23)</f>
        <v/>
      </c>
      <c r="P23" s="9">
        <f>IF(B23="","",IF(N23=O23,"OK","ΕΛΕΓΧΟΣ"))</f>
        <v/>
      </c>
    </row>
    <row r="24">
      <c r="A24" s="15">
        <f>IF(B24="","",CHOOSE(WEEKDAY(B24,2),"Δευτέρα","Τρίτη","Τετάρτη","Πέμπτη","Παρασκευή","Σάββατο","Κυριακή"))</f>
        <v/>
      </c>
      <c r="B24" s="14">
        <f>IF(21&lt;=DAY(EOMONTH($B$1,0)),DATE(YEAR($B$1),MONTH($B$1),21),"")</f>
        <v/>
      </c>
      <c r="C24" s="18" t="inlineStr">
        <is>
          <t>ΤΖΙΩΤΑΚΗΣ ΓΕΩΡΓΙΟΣ</t>
        </is>
      </c>
      <c r="D24" s="18" t="inlineStr">
        <is>
          <t>ΑΛΕΞΑΝΔΡΑΚΗΣ ΠΑΝΑΓΙΩΤΗΣ</t>
        </is>
      </c>
      <c r="E24" s="18" t="inlineStr">
        <is>
          <t>ΑΚΡΙΒΟΣ ΝΙΚΟΛΑΟΣ</t>
        </is>
      </c>
      <c r="F24" s="18" t="n"/>
      <c r="G24" s="19" t="inlineStr">
        <is>
          <t>ΤΣΕΛΕΠΙΔΗΣ ΣΑΒΒΑΣ</t>
        </is>
      </c>
      <c r="H24" s="19" t="n"/>
      <c r="I24" s="20" t="inlineStr">
        <is>
          <t>ΚΑΚΟΥΡΑΣ ΓΕΩΡΓΙΟΣ</t>
        </is>
      </c>
      <c r="J24" s="20" t="n"/>
      <c r="K24" s="21" t="inlineStr">
        <is>
          <t>ΚΥΡΙΑΚΙΔΗΣ ΧΡΗΣΤΟΣ</t>
        </is>
      </c>
      <c r="L24" s="22" t="inlineStr">
        <is>
          <t>ΚΙΝΙΝΗΣ ΔΗΜΗΤΡΙΟΣ</t>
        </is>
      </c>
      <c r="M24" s="23" t="inlineStr">
        <is>
          <t>ΤΡΙΑΝΤΑΦΥΛΛΟΥ ΦΡΑΓΚΙΣΚΟΣ</t>
        </is>
      </c>
      <c r="N24" s="9" t="n"/>
      <c r="O24" s="9">
        <f>COUNTA(C24:M24)</f>
        <v/>
      </c>
      <c r="P24" s="9">
        <f>IF(B24="","",IF(N24=O24,"OK","ΕΛΕΓΧΟΣ"))</f>
        <v/>
      </c>
    </row>
    <row r="25">
      <c r="A25" s="15">
        <f>IF(B25="","",CHOOSE(WEEKDAY(B25,2),"Δευτέρα","Τρίτη","Τετάρτη","Πέμπτη","Παρασκευή","Σάββατο","Κυριακή"))</f>
        <v/>
      </c>
      <c r="B25" s="14">
        <f>IF(22&lt;=DAY(EOMONTH($B$1,0)),DATE(YEAR($B$1),MONTH($B$1),22),"")</f>
        <v/>
      </c>
      <c r="C25" s="18" t="inlineStr">
        <is>
          <t>ΠΑΠΠΑΣ ΕΛΕΥΘΕΡΙΟΣ</t>
        </is>
      </c>
      <c r="D25" s="18" t="inlineStr">
        <is>
          <t>ΒΑΚΑΛΗΣ ΑΝΤΩΝΙΟΣ</t>
        </is>
      </c>
      <c r="E25" s="18" t="inlineStr">
        <is>
          <t>ΠΟΛΥΖΩΓΟΠΟΥΛΟΣ ΑΝΔΡΕΑΣ</t>
        </is>
      </c>
      <c r="F25" s="18" t="n"/>
      <c r="G25" s="19" t="inlineStr">
        <is>
          <t>ΚΑΒΟΥΡΑΣ ΣΤΑΜΑΤΗΣ</t>
        </is>
      </c>
      <c r="H25" s="19" t="n"/>
      <c r="I25" s="20" t="inlineStr">
        <is>
          <t>ΓΙΑΝΝΑΚΟΠΟΥΛΟΣ ΑΛΕΞΑΝΔΡΟΣ</t>
        </is>
      </c>
      <c r="J25" s="20" t="n"/>
      <c r="K25" s="21" t="inlineStr">
        <is>
          <t>ΧΕΙΡΔΑΡΗΣ ΚΩΝΣΤΑΝΤΙΝΟΣ</t>
        </is>
      </c>
      <c r="L25" s="22" t="inlineStr">
        <is>
          <t>ΡΑΒΑΝΗΣ ΙΩΑΝΝΗΣ</t>
        </is>
      </c>
      <c r="M25" s="23" t="inlineStr">
        <is>
          <t>ΕΛΕΥΘΕΡΙΟΥ ΑΝΤΩΝΙΟΣ</t>
        </is>
      </c>
      <c r="N25" s="9" t="n"/>
      <c r="O25" s="9">
        <f>COUNTA(C25:M25)</f>
        <v/>
      </c>
      <c r="P25" s="9">
        <f>IF(B25="","",IF(N25=O25,"OK","ΕΛΕΓΧΟΣ"))</f>
        <v/>
      </c>
    </row>
    <row r="26">
      <c r="A26" s="15">
        <f>IF(B26="","",CHOOSE(WEEKDAY(B26,2),"Δευτέρα","Τρίτη","Τετάρτη","Πέμπτη","Παρασκευή","Σάββατο","Κυριακή"))</f>
        <v/>
      </c>
      <c r="B26" s="14">
        <f>IF(23&lt;=DAY(EOMONTH($B$1,0)),DATE(YEAR($B$1),MONTH($B$1),23),"")</f>
        <v/>
      </c>
      <c r="C26" s="18" t="inlineStr">
        <is>
          <t>ΜΙΧΑΛΙΩΔΗΣ ΔΟΥΚΑΣ ΤΑΞΙΑΡΧΗΣ</t>
        </is>
      </c>
      <c r="D26" s="18" t="inlineStr">
        <is>
          <t>ΡΟΥΣΚΑΣ ΔΗΜΗΤΡΙΟΣ</t>
        </is>
      </c>
      <c r="E26" s="18" t="inlineStr">
        <is>
          <t>ΧΙΟΝΑΣ ΔΗΜΗΤΡΙΟΣ</t>
        </is>
      </c>
      <c r="F26" s="18" t="n"/>
      <c r="G26" s="19" t="inlineStr">
        <is>
          <t>ΑΓΓΕΛΟΓΙΑΝΝΟΠΟΥΛΟΣ ΜΑΡΙΟΣ</t>
        </is>
      </c>
      <c r="H26" s="19" t="n"/>
      <c r="I26" s="33" t="inlineStr">
        <is>
          <t>ΑΒΡΑΜΗΛΑΣ ΓΕΩΡΓΙΟΣ Π. (ΟΧΙ ΜΛΣΝ)</t>
        </is>
      </c>
      <c r="J26" s="20" t="inlineStr">
        <is>
          <t>ΠΑΝΟΥΣΗΣ ΚΩΝΣΤΑΝΤΙΝΟΣ</t>
        </is>
      </c>
      <c r="K26" s="21" t="inlineStr">
        <is>
          <t>ΚΟΥΛΟΠΟΥΛΟΣ ΓΕΡΑΣΙΜΟΣ</t>
        </is>
      </c>
      <c r="L26" s="22" t="inlineStr">
        <is>
          <t>ΓΚΟΣΔΗΣ ΦΩΤΙΟΣ</t>
        </is>
      </c>
      <c r="M26" s="23" t="inlineStr">
        <is>
          <t>ΜΑΝΩΛΟΥΔΗΣ ΣΠΥΡΙΔΩΝ</t>
        </is>
      </c>
      <c r="N26" s="9" t="n"/>
      <c r="O26" s="9">
        <f>COUNTA(C26:M26)</f>
        <v/>
      </c>
      <c r="P26" s="9">
        <f>IF(B26="","",IF(N26=O26,"OK","ΕΛΕΓΧΟΣ"))</f>
        <v/>
      </c>
    </row>
    <row r="27">
      <c r="A27" s="15">
        <f>IF(B27="","",CHOOSE(WEEKDAY(B27,2),"Δευτέρα","Τρίτη","Τετάρτη","Πέμπτη","Παρασκευή","Σάββατο","Κυριακή"))</f>
        <v/>
      </c>
      <c r="B27" s="14">
        <f>IF(24&lt;=DAY(EOMONTH($B$1,0)),DATE(YEAR($B$1),MONTH($B$1),24),"")</f>
        <v/>
      </c>
      <c r="C27" s="18" t="inlineStr">
        <is>
          <t>ΠΑΠΑΓΕΩΡΓΙΟΥ ΛΟΥΚΑΣ ΑΛΕΞΑΝΔΡΟΣ 1-2 ΜΗΝΑ</t>
        </is>
      </c>
      <c r="D27" s="18" t="inlineStr">
        <is>
          <t>ΣΤΕΡΓΙΟΥ ΜΙΧΑΗΛ</t>
        </is>
      </c>
      <c r="E27" s="18" t="n"/>
      <c r="F27" s="18" t="n"/>
      <c r="G27" s="19" t="inlineStr">
        <is>
          <t>ΛΥΜΠΕΡΑΤΟΣ ΑΝΔΡΕΑΣ (ΟΧΙ ΣΚ) (ΣΤΗΝ ΑΝΑΓΚΗ 1 ΒΑΥΔΜ ΣΚ)</t>
        </is>
      </c>
      <c r="H27" s="19" t="inlineStr">
        <is>
          <t>ΠΛΕΜΜΕΝΟΣ ΠΡΟΔΡΟΜΟΣ</t>
        </is>
      </c>
      <c r="I27" s="20" t="inlineStr">
        <is>
          <t>ΚΩΣΤΟΓΙΑΝΝΗΣ ΓΕΩΡΓΙΟΣ</t>
        </is>
      </c>
      <c r="J27" s="20" t="n"/>
      <c r="K27" s="21" t="inlineStr">
        <is>
          <t>ΚΑΡΑΣΑΒΒΑΣ ΠΑΝΤΕΛΕΗΜΩΝ</t>
        </is>
      </c>
      <c r="L27" s="22" t="inlineStr">
        <is>
          <t>ΒΛΑΧΟΣ ΜΑΡΙΟΣ</t>
        </is>
      </c>
      <c r="M27" s="23" t="inlineStr">
        <is>
          <t>ΠΑΠΑΔΟΠΟΥΛΟΣ ΚΩΝΣΤΑΝΤΙΝΟΣ</t>
        </is>
      </c>
      <c r="N27" s="9" t="n"/>
      <c r="O27" s="9">
        <f>COUNTA(C27:M27)</f>
        <v/>
      </c>
      <c r="P27" s="9">
        <f>IF(B27="","",IF(N27=O27,"OK","ΕΛΕΓΧΟΣ"))</f>
        <v/>
      </c>
    </row>
    <row r="28">
      <c r="A28" s="15">
        <f>IF(B28="","",CHOOSE(WEEKDAY(B28,2),"Δευτέρα","Τρίτη","Τετάρτη","Πέμπτη","Παρασκευή","Σάββατο","Κυριακή"))</f>
        <v/>
      </c>
      <c r="B28" s="14">
        <f>IF(25&lt;=DAY(EOMONTH($B$1,0)),DATE(YEAR($B$1),MONTH($B$1),25),"")</f>
        <v/>
      </c>
      <c r="C28" s="18" t="inlineStr">
        <is>
          <t>ΘΕΟΦΙΛΟΓΙΑΝΝΑΚΟΣ ΒΑΣΙΛΕΙΟΣ</t>
        </is>
      </c>
      <c r="D28" s="18" t="inlineStr">
        <is>
          <t>ΣΠΥΡΟΠΟΥΛΟΣ ΔΙΟΝΥΣΙΟΣ</t>
        </is>
      </c>
      <c r="E28" s="18" t="inlineStr">
        <is>
          <t>ΣΑΓΙΑΝΝΗΣ ΓΕΩΡΓΙΟΣ</t>
        </is>
      </c>
      <c r="F28" s="18" t="n"/>
      <c r="G28" s="19" t="inlineStr">
        <is>
          <t>ΚΑΛΑΡΓΥΡΟΣ ΝΙΚΟΛΑΟΣ</t>
        </is>
      </c>
      <c r="H28" s="19" t="n"/>
      <c r="I28" s="20" t="inlineStr">
        <is>
          <t>ΔΑΣΟΥΛΑΣ ΓΕΩΡΓΙΟΣ</t>
        </is>
      </c>
      <c r="J28" s="20" t="inlineStr">
        <is>
          <t>ΤΡΙΑΝΤΑΦΥΛΛΟΥ ΦΡΑΓΚΙΣΚΟΣ</t>
        </is>
      </c>
      <c r="K28" s="29" t="inlineStr">
        <is>
          <t>ΠΑΣΤΡΑΣ ΑΓΓΕΛΟΣ (ΒΑΥΔΜ)</t>
        </is>
      </c>
      <c r="L28" s="22" t="inlineStr">
        <is>
          <t>ΜΑΛΤΑΣ ΓΕΩΡΓΙΟΣ</t>
        </is>
      </c>
      <c r="M28" s="23" t="inlineStr">
        <is>
          <t>ΣΑΡΑΚΙΝΤΣΗΣ ΣΤΥΛΙΑΝΟΣ</t>
        </is>
      </c>
      <c r="N28" s="9" t="n"/>
      <c r="O28" s="9">
        <f>COUNTA(C28:M28)</f>
        <v/>
      </c>
      <c r="P28" s="9">
        <f>IF(B28="","",IF(N28=O28,"OK","ΕΛΕΓΧΟΣ"))</f>
        <v/>
      </c>
    </row>
    <row r="29">
      <c r="A29" s="15">
        <f>IF(B29="","",CHOOSE(WEEKDAY(B29,2),"Δευτέρα","Τρίτη","Τετάρτη","Πέμπτη","Παρασκευή","Σάββατο","Κυριακή"))</f>
        <v/>
      </c>
      <c r="B29" s="14">
        <f>IF(26&lt;=DAY(EOMONTH($B$1,0)),DATE(YEAR($B$1),MONTH($B$1),26),"")</f>
        <v/>
      </c>
      <c r="C29" s="18" t="inlineStr">
        <is>
          <t>ΣΤΑΜΟΥ ΙΩΑΝΝΗΣ</t>
        </is>
      </c>
      <c r="D29" s="18" t="inlineStr">
        <is>
          <t>ΖΑΡΜΑΚΟΥΠΗΣ ΓΕΩΡΓΙΟΣ</t>
        </is>
      </c>
      <c r="E29" s="18" t="n"/>
      <c r="F29" s="18" t="n"/>
      <c r="G29" s="19" t="inlineStr">
        <is>
          <t>ΚΩΝΣΤΑΝΤΙΝΙΔΗΣ ΙΩΑΝΝΗΣ</t>
        </is>
      </c>
      <c r="H29" s="19" t="inlineStr">
        <is>
          <t>ΜΑΝΩΛΟΥΔΗΣ ΣΠΥΡΙΔΩΝ</t>
        </is>
      </c>
      <c r="I29" s="20" t="inlineStr">
        <is>
          <t>ΣΤΡΑΤΟΣ ΒΑΣΙΛΕΙΟΣ</t>
        </is>
      </c>
      <c r="J29" s="20" t="n"/>
      <c r="K29" s="21" t="inlineStr">
        <is>
          <t>ΦΙΝΕΣ ΛΟΥΚΑΣ</t>
        </is>
      </c>
      <c r="L29" s="22" t="inlineStr">
        <is>
          <t>ΠΑΠΠΑΣ ΕΛΕΥΘΕΡΙΟΣ</t>
        </is>
      </c>
      <c r="M29" s="23" t="inlineStr">
        <is>
          <t>ΤΖΙΩΤΑΚΗΣ ΓΕΩΡΓΙΟΣ</t>
        </is>
      </c>
      <c r="N29" s="9" t="n"/>
      <c r="O29" s="9">
        <f>COUNTA(C29:M29)</f>
        <v/>
      </c>
      <c r="P29" s="9">
        <f>IF(B29="","",IF(N29=O29,"OK","ΕΛΕΓΧΟΣ"))</f>
        <v/>
      </c>
    </row>
    <row r="30">
      <c r="A30" s="15">
        <f>IF(B30="","",CHOOSE(WEEKDAY(B30,2),"Δευτέρα","Τρίτη","Τετάρτη","Πέμπτη","Παρασκευή","Σάββατο","Κυριακή"))</f>
        <v/>
      </c>
      <c r="B30" s="14">
        <f>IF(27&lt;=DAY(EOMONTH($B$1,0)),DATE(YEAR($B$1),MONTH($B$1),27),"")</f>
        <v/>
      </c>
      <c r="C30" s="18" t="inlineStr">
        <is>
          <t>ΜΠΑΡΑΛΗΣ ΗΛΙΑΣ</t>
        </is>
      </c>
      <c r="D30" s="18" t="inlineStr">
        <is>
          <t>ΘΩΜΟΠΟΥΛΟΣ ΔΗΜΗΤΡΙΟΣ (ΜΟΝΟ ΚΑΘΗΜΕΡΙΝΕΣ, ΜΠΟΡΕΙ ΚΑΙ Χ2 ΤΗΝ ΒΔΟΜΑΔΑ)</t>
        </is>
      </c>
      <c r="E30" s="18" t="inlineStr">
        <is>
          <t>ΒΑΣΙΛΟΠΟΥΛΟΣ ΧΡΥΣΟΒΑΛΆΝΤΗΣ</t>
        </is>
      </c>
      <c r="F30" s="18" t="n"/>
      <c r="G30" s="19" t="inlineStr">
        <is>
          <t>ΚΙΝΙΝΗΣ ΔΗΜΗΤΡΙΟΣ</t>
        </is>
      </c>
      <c r="H30" s="19" t="n"/>
      <c r="I30" s="20" t="inlineStr">
        <is>
          <t>ΦΟΥΝΤΟΡΑΔΑΚΗΣ ΙΩΣΗΦ (ΠΡΟΤΙΜΗΣΗ ΠΑΡΑΣΚΕΥΗ)</t>
        </is>
      </c>
      <c r="J30" s="20" t="inlineStr">
        <is>
          <t>ΑΠΟΣΤΟΛΟΥ ΚΩΝΣΤΑΝΤΙΝΟΣ</t>
        </is>
      </c>
      <c r="K30" s="21" t="inlineStr">
        <is>
          <t>ΠΙΕΡΡΟΣ ΠΑΝΑΓΙΩΤΗΣ (Ι2)</t>
        </is>
      </c>
      <c r="L30" s="22" t="inlineStr">
        <is>
          <t>ΣΑΡΑΚΙΝΤΣΗΣ ΜΑΡΙΟΣ</t>
        </is>
      </c>
      <c r="M30" s="23" t="inlineStr">
        <is>
          <t>ΕΛΕΥΘΕΡΙΟΥ ΑΝΤΩΝΙΟΣ</t>
        </is>
      </c>
      <c r="N30" s="9" t="n"/>
      <c r="O30" s="9">
        <f>COUNTA(C30:M30)</f>
        <v/>
      </c>
      <c r="P30" s="9">
        <f>IF(B30="","",IF(N30=O30,"OK","ΕΛΕΓΧΟΣ"))</f>
        <v/>
      </c>
    </row>
    <row r="31">
      <c r="A31" s="15">
        <f>IF(B31="","",CHOOSE(WEEKDAY(B31,2),"Δευτέρα","Τρίτη","Τετάρτη","Πέμπτη","Παρασκευή","Σάββατο","Κυριακή"))</f>
        <v/>
      </c>
      <c r="B31" s="14">
        <f>IF(28&lt;=DAY(EOMONTH($B$1,0)),DATE(YEAR($B$1),MONTH($B$1),28),"")</f>
        <v/>
      </c>
      <c r="C31" s="18" t="inlineStr">
        <is>
          <t>ΚΟΥΝΑΝΗΣ ΚΥΡΙΑΚΟΣ</t>
        </is>
      </c>
      <c r="D31" s="18" t="inlineStr">
        <is>
          <t>ΜΠΟΥΚΟΥΡΑΣ ΕΠΑΜΕΙΝΩΝΔΑΣ</t>
        </is>
      </c>
      <c r="E31" s="18" t="inlineStr">
        <is>
          <t>ΓΙΑΝΝΟΓΛΟΥ ΠΑΡΘΕΝΙΟΣ ΑΓΓΕΛΟΣ</t>
        </is>
      </c>
      <c r="F31" s="18" t="n"/>
      <c r="G31" s="19" t="inlineStr">
        <is>
          <t>ΣΤΑΜΑΤΟΓΛΟΥ ΔΗΜΗΤΡΙΟΣ</t>
        </is>
      </c>
      <c r="H31" s="20" t="n"/>
      <c r="I31" s="20" t="inlineStr">
        <is>
          <t>ΣΠΥΡΙΔΗΣ ΟΡΕΣΤΗΣ</t>
        </is>
      </c>
      <c r="J31" s="20" t="n"/>
      <c r="K31" s="21" t="inlineStr">
        <is>
          <t>ΤΣΟΡΩΤΑΣ ΧΑΡΑΛΑΜΠΟΣ (Ι3 ΑΟΠΛΟ)</t>
        </is>
      </c>
      <c r="L31" s="22" t="inlineStr">
        <is>
          <t>ΛΥΜΠΕΡΑΤΟΣ ΑΝΔΡΕΑΣ (ΟΧΙ ΣΚ) (ΣΤΗΝ ΑΝΑΓΚΗ 1 ΒΑΥΔΜ ΣΚ)</t>
        </is>
      </c>
      <c r="M31" s="23" t="inlineStr">
        <is>
          <t>ΜΙΧΑΛΙΩΔΗΣ ΔΟΥΚΑΣ ΤΑΞΙΑΡΧΗΣ</t>
        </is>
      </c>
      <c r="N31" s="9" t="n"/>
      <c r="O31" s="9">
        <f>COUNTA(C31:M31)</f>
        <v/>
      </c>
      <c r="P31" s="9">
        <f>IF(B31="","",IF(N31=O31,"OK","ΕΛΕΓΧΟΣ"))</f>
        <v/>
      </c>
    </row>
    <row r="32">
      <c r="A32" s="15">
        <f>IF(B32="","",CHOOSE(WEEKDAY(B32,2),"Δευτέρα","Τρίτη","Τετάρτη","Πέμπτη","Παρασκευή","Σάββατο","Κυριακή"))</f>
        <v/>
      </c>
      <c r="B32" s="14">
        <f>IF(29&lt;=DAY(EOMONTH($B$1,0)),DATE(YEAR($B$1),MONTH($B$1),29),"")</f>
        <v/>
      </c>
      <c r="C32" s="18" t="inlineStr">
        <is>
          <t>ΜΗΤΣΟΥ ΜΑΡΙΟΣ ΝΑΠΟΛΕΩΝ</t>
        </is>
      </c>
      <c r="D32" s="33" t="inlineStr">
        <is>
          <t>ΘΕΟΦΙΛΟΓΙΑΝΝΑΚΟΣ ΒΑΣΙΛΕΙΟΣ</t>
        </is>
      </c>
      <c r="E32" s="33" t="inlineStr">
        <is>
          <t>ΚΙΝΙΝΗΣ ΔΗΜΗΤΡΙΟΣ</t>
        </is>
      </c>
      <c r="F32" s="18" t="n"/>
      <c r="G32" s="19" t="n"/>
      <c r="H32" s="19" t="n"/>
      <c r="I32" s="20" t="inlineStr">
        <is>
          <t>ΜΑΓΚΟΣ ΓΕΩΡΓΙΟΣ(ΜΟΝΟ ΒΑΥΔΜ ΕΣΤ)</t>
        </is>
      </c>
      <c r="J32" s="20" t="n"/>
      <c r="K32" s="21" t="inlineStr">
        <is>
          <t>ΚΟΥΤΣΟΣ ΑΘΑΝΑΣΙΟΣ</t>
        </is>
      </c>
      <c r="L32" s="22" t="inlineStr">
        <is>
          <t>ΕΥΑΓΓΕΛΙΝΟΣ ΜΙΧΑΗΛ</t>
        </is>
      </c>
      <c r="M32" s="23" t="inlineStr">
        <is>
          <t>ΜΑΝΩΛΟΥΔΗΣ ΣΠΥΡΙΔΩΝ</t>
        </is>
      </c>
      <c r="N32" s="9" t="n"/>
      <c r="O32" s="9">
        <f>COUNTA(C32:M32)</f>
        <v/>
      </c>
      <c r="P32" s="9">
        <f>IF(B32="","",IF(N32=O32,"OK","ΕΛΕΓΧΟΣ"))</f>
        <v/>
      </c>
    </row>
    <row r="33">
      <c r="A33" s="15">
        <f>IF(B33="","",CHOOSE(WEEKDAY(B33,2),"Δευτέρα","Τρίτη","Τετάρτη","Πέμπτη","Παρασκευή","Σάββατο","Κυριακή"))</f>
        <v/>
      </c>
      <c r="B33" s="14">
        <f>IF(30&lt;=DAY(EOMONTH($B$1,0)),DATE(YEAR($B$1),MONTH($B$1),30),"")</f>
        <v/>
      </c>
      <c r="C33" s="18" t="inlineStr">
        <is>
          <t>ΜΥΡΤΑ ΡΕΝΑΤΟ</t>
        </is>
      </c>
      <c r="D33" s="18" t="inlineStr">
        <is>
          <t>ΒΑΚΑΛΗΣ ΑΝΤΩΝΙΟΣ</t>
        </is>
      </c>
      <c r="E33" s="18" t="inlineStr">
        <is>
          <t>ΑΛΕΞΑΝΔΡΑΚΗΣ ΠΑΝΑΓΙΩΤΗΣ</t>
        </is>
      </c>
      <c r="F33" s="18" t="n"/>
      <c r="G33" s="19" t="inlineStr">
        <is>
          <t>ΠΑΡΑΣΧΑΚΗΣ ΔΗΜΗΤΡΙΟΣ</t>
        </is>
      </c>
      <c r="H33" s="19" t="n"/>
      <c r="I33" s="20" t="inlineStr">
        <is>
          <t>ΚΥΡΙΑΚΙΔΗΣ ΧΡΗΣΤΟΣ</t>
        </is>
      </c>
      <c r="J33" s="20" t="inlineStr">
        <is>
          <t>ΡΟΥΣΚΑΣ ΔΗΜΗΤΡΙΟΣ</t>
        </is>
      </c>
      <c r="K33" s="21" t="inlineStr">
        <is>
          <t>ΤΣΕΛΕΠΙΔΗΣ ΣΑΒΒΑΣ</t>
        </is>
      </c>
      <c r="L33" t="inlineStr">
        <is>
          <t>ΠΟΛΥΖΩΓΟΠΟΥΛΟΣ ΑΝΔΡΕΑΣ</t>
        </is>
      </c>
      <c r="M33" s="23" t="inlineStr">
        <is>
          <t>ΣΑΓΙΑΝΝΗΣ ΓΕΩΡΓΙΟΣ</t>
        </is>
      </c>
      <c r="N33" s="9" t="n"/>
      <c r="O33" s="9">
        <f>COUNTA(C33:M33)</f>
        <v/>
      </c>
      <c r="P33" s="9">
        <f>IF(B33="","",IF(N33=O33,"OK","ΕΛΕΓΧΟΣ"))</f>
        <v/>
      </c>
    </row>
    <row r="34">
      <c r="A34" s="15">
        <f>IF(B34="","",CHOOSE(WEEKDAY(B34,2),"Δευτέρα","Τρίτη","Τετάρτη","Πέμπτη","Παρασκευή","Σάββατο","Κυριακή"))</f>
        <v/>
      </c>
      <c r="B34" s="14">
        <f>IF(31&lt;=DAY(EOMONTH($B$1,0)),DATE(YEAR($B$1),MONTH($B$1),31),"")</f>
        <v/>
      </c>
      <c r="C34" s="18" t="inlineStr">
        <is>
          <t>ΧΕΙΡΔΑΡΗΣ ΚΩΝΣΤΑΝΤΙΝΟΣ</t>
        </is>
      </c>
      <c r="D34" s="18" t="inlineStr">
        <is>
          <t>ΣΤΕΡΓΙΟΥ ΜΙΧΑΗΛ</t>
        </is>
      </c>
      <c r="E34" s="18" t="n"/>
      <c r="F34" s="18" t="n"/>
      <c r="G34" s="19" t="inlineStr">
        <is>
          <t>ΓΙΑΝΝΑΚΟΠΟΥΛΟΣ ΑΛΕΞΑΝΔΡΟΣ</t>
        </is>
      </c>
      <c r="H34" s="19" t="inlineStr">
        <is>
          <t>ΠΑΝΟΥΣΗΣ ΚΩΝΣΤΑΝΤΙΝΟΣ</t>
        </is>
      </c>
      <c r="I34" s="33" t="inlineStr">
        <is>
          <t>ΧΙΟΝΑΣ ΔΗΜΗΤΡΙΟΣ</t>
        </is>
      </c>
      <c r="J34" s="20" t="n"/>
      <c r="K34" s="21" t="inlineStr">
        <is>
          <t>ΑΚΡΙΒΟΣ ΝΙΚΟΛΑΟΣ</t>
        </is>
      </c>
      <c r="L34" s="22" t="inlineStr">
        <is>
          <t>ΒΛΑΧΟΣ ΜΑΡΙΟΣ</t>
        </is>
      </c>
      <c r="M34" s="23" t="inlineStr">
        <is>
          <t>ΕΛΕΥΘΕΡΙΟΥ ΑΝΤΩΝΙΟΣ</t>
        </is>
      </c>
      <c r="N34" s="9" t="n"/>
      <c r="O34" s="9">
        <f>COUNTA(C34:M34)</f>
        <v/>
      </c>
      <c r="P34" s="9">
        <f>IF(B34="","",IF(N34=O34,"OK","ΕΛΕΓΧΟΣ"))</f>
        <v/>
      </c>
    </row>
  </sheetData>
  <conditionalFormatting sqref="A4:B34 C12:F12 C14:F15 C16 C17:F17 C18:E18 C19:D19 C20:F21 C22:D22 C23:F24 C26:F26 C27:D27 C28:F33 E16:F16 E25:F25 F22 H12 H14:M15 H16 H17:M19 H20:J20 H21:M25 H26 H27:M27 H28:J28 H29:M32 H33:K33 J12:M12 J16:M16 J26:M26 L20:M20 L28:M28 M33 N12:N33 O12:O34">
    <cfRule type="expression" priority="14" dxfId="0">
      <formula>OR($A4="Σάββατο",$A4="Κυριακή")</formula>
    </cfRule>
  </conditionalFormatting>
  <conditionalFormatting sqref="C13:D13 H13:M13">
    <cfRule type="expression" priority="9" dxfId="0">
      <formula>OR($A13="Σάββατο",$A13="Κυριακή")</formula>
    </cfRule>
  </conditionalFormatting>
  <conditionalFormatting sqref="E13:F13">
    <cfRule type="expression" priority="8" dxfId="0">
      <formula>OR($A13="Σάββατο",$A13="Κυριακή")</formula>
    </cfRule>
  </conditionalFormatting>
  <conditionalFormatting sqref="C34:F34 H34 J34:N34">
    <cfRule type="expression" priority="7" dxfId="0">
      <formula>OR($A34="Σάββατο",$A34="Κυριακή")</formula>
    </cfRule>
  </conditionalFormatting>
  <conditionalFormatting sqref="D16">
    <cfRule type="expression" priority="16" dxfId="0">
      <formula>OR($A19="Σάββατο",$A19="Κυριακή")</formula>
    </cfRule>
  </conditionalFormatting>
  <conditionalFormatting sqref="I34">
    <cfRule type="expression" priority="3" dxfId="0">
      <formula>OR($A34="Σάββατο",$A34="Κυριακή")</formula>
    </cfRule>
  </conditionalFormatting>
  <conditionalFormatting sqref="D34">
    <cfRule type="expression" priority="20" dxfId="0">
      <formula>OR($A33="Σάββατο",$A33="Κυριακή")</formula>
    </cfRule>
  </conditionalFormatting>
  <conditionalFormatting sqref="K11">
    <cfRule type="expression" priority="22" dxfId="0">
      <formula>OR($A20="Σάββατο",$A20="Κυριακή")</formula>
    </cfRule>
  </conditionalFormatting>
  <conditionalFormatting sqref="H31">
    <cfRule type="expression" priority="24" dxfId="0">
      <formula>OR($A26="Σάββατο",$A26="Κυριακή")</formula>
    </cfRule>
  </conditionalFormatting>
  <pageMargins left="0.75" right="0.75" top="1" bottom="1" header="0.5" footer="0.5"/>
  <pageSetup orientation="portrait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5">
    <outlinePr summaryBelow="1" summaryRight="1"/>
    <pageSetUpPr/>
  </sheetPr>
  <dimension ref="A1:L112"/>
  <sheetViews>
    <sheetView workbookViewId="0">
      <pane ySplit="1" topLeftCell="A2" activePane="bottomLeft" state="frozen"/>
      <selection pane="bottomLeft" activeCell="A15" sqref="A15"/>
    </sheetView>
  </sheetViews>
  <sheetFormatPr baseColWidth="8" defaultRowHeight="14.5"/>
  <cols>
    <col width="51.81640625" customWidth="1" min="1" max="1"/>
    <col width="20.54296875" customWidth="1" min="2" max="2"/>
    <col width="12.81640625" customWidth="1" min="3" max="3"/>
    <col width="8" customWidth="1" min="4" max="6"/>
    <col width="10" customWidth="1" min="7" max="7"/>
    <col width="13.26953125" customWidth="1" min="8" max="8"/>
    <col width="14.26953125" customWidth="1" min="9" max="9"/>
    <col width="15.26953125" customWidth="1" min="10" max="10"/>
    <col width="15" customWidth="1" min="11" max="11"/>
    <col width="13" customWidth="1" min="12" max="12"/>
  </cols>
  <sheetData>
    <row r="1">
      <c r="A1" s="34" t="inlineStr">
        <is>
          <t>ΟΝΟΜΑ</t>
        </is>
      </c>
      <c r="B1" s="34" t="inlineStr">
        <is>
          <t>ΣΥΝΟΛΟ_ΥΠΗΡΕΣΙΩΝ</t>
        </is>
      </c>
      <c r="C1" s="34" t="inlineStr">
        <is>
          <t>ΣΥΝΟΛΟ_ΣΚ</t>
        </is>
      </c>
      <c r="D1" s="34" t="inlineStr">
        <is>
          <t>ΜΛΣΝ</t>
        </is>
      </c>
      <c r="E1" s="34" t="inlineStr">
        <is>
          <t>ΕΤΑΦ</t>
        </is>
      </c>
      <c r="F1" s="34" t="inlineStr">
        <is>
          <t>ΕΣΤ</t>
        </is>
      </c>
      <c r="G1" s="34" t="inlineStr">
        <is>
          <t>ΒΑΥΔΜ</t>
        </is>
      </c>
      <c r="H1" s="34" t="inlineStr">
        <is>
          <t>ΕΠΙΦ_ΜΛΣΝ</t>
        </is>
      </c>
      <c r="I1" s="34" t="inlineStr">
        <is>
          <t>ΕΠΙΦ_ΒΑΥΔΜ</t>
        </is>
      </c>
      <c r="J1" s="34" t="inlineStr">
        <is>
          <t>ΣΥΝΟΛΟ_ΕΠΙΦ</t>
        </is>
      </c>
      <c r="K1" s="34" t="inlineStr">
        <is>
          <t>ΕΛΕΓΧΟΣ_MAX</t>
        </is>
      </c>
      <c r="L1" s="34" t="inlineStr">
        <is>
          <t>ΕΛΕΓΧΟΣ_ΣΚ</t>
        </is>
      </c>
    </row>
    <row r="2">
      <c r="A2" t="inlineStr">
        <is>
          <t>ΡΟΥΣΚΑΣ ΔΗΜΗΤΡΙΟΣ</t>
        </is>
      </c>
      <c r="B2">
        <f>SUM(D2:G2)</f>
        <v/>
      </c>
      <c r="C2">
        <f>COUNTIFS(Schedule!$A$4:$A$34,"Σάββατο",Schedule!$C$4:$C$34,$A2)+COUNTIFS(Schedule!$A$4:$A$34,"Σάββατο",Schedule!$D$4:$D$34,$A2)+COUNTIFS(Schedule!$A$4:$A$34,"Σάββατο",Schedule!$E$4:$E$34,$A2)+COUNTIFS(Schedule!$A$4:$A$34,"Σάββατο",Schedule!$F$4:$F$34,$A2)+COUNTIFS(Schedule!$A$4:$A$34,"Σάββατο",Schedule!$G$4:$G$34,$A2)+COUNTIFS(Schedule!$A$4:$A$34,"Σάββατο",Schedule!$H$4:$H$34,$A2)+COUNTIFS(Schedule!$A$4:$A$34,"Σάββατο",Schedule!$I$4:$I$34,$A2)+COUNTIFS(Schedule!$A$4:$A$34,"Σάββατο",Schedule!$J$4:$J$34,$A2)+COUNTIFS(Schedule!$A$4:$A$34,"Σάββατο",Schedule!$K$4:$K$34,$A2)+COUNTIFS(Schedule!$A$4:$A$34,"Κυριακή",Schedule!$C$4:$C$34,$A2)+COUNTIFS(Schedule!$A$4:$A$34,"Κυριακή",Schedule!$D$4:$D$34,$A2)+COUNTIFS(Schedule!$A$4:$A$34,"Κυριακή",Schedule!$E$4:$E$34,$A2)+COUNTIFS(Schedule!$A$4:$A$34,"Κυριακή",Schedule!$F$4:$F$34,$A2)+COUNTIFS(Schedule!$A$4:$A$34,"Κυριακή",Schedule!$G$4:$G$34,$A2)+COUNTIFS(Schedule!$A$4:$A$34,"Κυριακή",Schedule!$H$4:$H$34,$A2)+COUNTIFS(Schedule!$A$4:$A$34,"Κυριακή",Schedule!$I$4:$I$34,$A2)+COUNTIFS(Schedule!$A$4:$A$34,"Κυριακή",Schedule!$J$4:$J$34,$A2)+COUNTIFS(Schedule!$A$4:$A$34,"Κυριακή",Schedule!$K$4:$K$34,$A2)</f>
        <v/>
      </c>
      <c r="D2">
        <f>COUNTIF(Schedule!$C$4:$C$34,$A2)+COUNTIF(Schedule!$D$4:$D$34,$A2)+COUNTIF(Schedule!$E$4:$E$34,$A2)+COUNTIF(Schedule!$F$4:$F$34,$A2)</f>
        <v/>
      </c>
      <c r="E2">
        <f>COUNTIF(Schedule!$G$4:$G$34,$A2)+COUNTIF(Schedule!$H$4:$H$34,$A2)</f>
        <v/>
      </c>
      <c r="F2">
        <f>COUNTIF(Schedule!$I$4:$I$34,$A2)+COUNTIF(Schedule!$J$4:$J$34,$A2)</f>
        <v/>
      </c>
      <c r="G2">
        <f>COUNTIF(Schedule!$K$4:$K$34,$A2)</f>
        <v/>
      </c>
      <c r="H2">
        <f>COUNTIF(Schedule!$L$4:$L$34,$A2)</f>
        <v/>
      </c>
      <c r="I2">
        <f>COUNTIF(Schedule!$M$4:$M$34,$A2)</f>
        <v/>
      </c>
      <c r="J2">
        <f>SUM(H2:I2)</f>
        <v/>
      </c>
      <c r="K2">
        <f>IFERROR(IF(B2&lt;=VLOOKUP(TRIM($A2),Personnel!$A:$N,13,0),"OK","ΥΠΕΡΒΑΣΗ"),"!")</f>
        <v/>
      </c>
      <c r="L2">
        <f>IFERROR(IF(C2&lt;=VLOOKUP(TRIM($A2),Personnel!$A:$N,14,0),"OK","ΠΟΛΛΑ ΣΚ"),"!")</f>
        <v/>
      </c>
    </row>
    <row r="3">
      <c r="A3" t="inlineStr">
        <is>
          <t>ΣΠΥΡΙΔΗΣ ΟΡΕΣΤΗΣ</t>
        </is>
      </c>
      <c r="B3">
        <f>SUM(D3:G3)</f>
        <v/>
      </c>
      <c r="C3">
        <f>COUNTIFS(Schedule!$A$4:$A$34,"Σάββατο",Schedule!$C$4:$C$34,$A3)+COUNTIFS(Schedule!$A$4:$A$34,"Σάββατο",Schedule!$D$4:$D$34,$A3)+COUNTIFS(Schedule!$A$4:$A$34,"Σάββατο",Schedule!$E$4:$E$34,$A3)+COUNTIFS(Schedule!$A$4:$A$34,"Σάββατο",Schedule!$F$4:$F$34,$A3)+COUNTIFS(Schedule!$A$4:$A$34,"Σάββατο",Schedule!$G$4:$G$34,$A3)+COUNTIFS(Schedule!$A$4:$A$34,"Σάββατο",Schedule!$H$4:$H$34,$A3)+COUNTIFS(Schedule!$A$4:$A$34,"Σάββατο",Schedule!$I$4:$I$34,$A3)+COUNTIFS(Schedule!$A$4:$A$34,"Σάββατο",Schedule!$J$4:$J$34,$A3)+COUNTIFS(Schedule!$A$4:$A$34,"Σάββατο",Schedule!$K$4:$K$34,$A3)+COUNTIFS(Schedule!$A$4:$A$34,"Κυριακή",Schedule!$C$4:$C$34,$A3)+COUNTIFS(Schedule!$A$4:$A$34,"Κυριακή",Schedule!$D$4:$D$34,$A3)+COUNTIFS(Schedule!$A$4:$A$34,"Κυριακή",Schedule!$E$4:$E$34,$A3)+COUNTIFS(Schedule!$A$4:$A$34,"Κυριακή",Schedule!$F$4:$F$34,$A3)+COUNTIFS(Schedule!$A$4:$A$34,"Κυριακή",Schedule!$G$4:$G$34,$A3)+COUNTIFS(Schedule!$A$4:$A$34,"Κυριακή",Schedule!$H$4:$H$34,$A3)+COUNTIFS(Schedule!$A$4:$A$34,"Κυριακή",Schedule!$I$4:$I$34,$A3)+COUNTIFS(Schedule!$A$4:$A$34,"Κυριακή",Schedule!$J$4:$J$34,$A3)+COUNTIFS(Schedule!$A$4:$A$34,"Κυριακή",Schedule!$K$4:$K$34,$A3)</f>
        <v/>
      </c>
      <c r="D3">
        <f>COUNTIF(Schedule!$C$4:$C$34,$A3)+COUNTIF(Schedule!$D$4:$D$34,$A3)+COUNTIF(Schedule!$E$4:$E$34,$A3)+COUNTIF(Schedule!$F$4:$F$34,$A3)</f>
        <v/>
      </c>
      <c r="E3">
        <f>COUNTIF(Schedule!$G$4:$G$34,$A3)+COUNTIF(Schedule!$H$4:$H$34,$A3)</f>
        <v/>
      </c>
      <c r="F3">
        <f>COUNTIF(Schedule!$I$4:$I$34,$A3)+COUNTIF(Schedule!$J$4:$J$34,$A3)</f>
        <v/>
      </c>
      <c r="G3">
        <f>COUNTIF(Schedule!$K$4:$K$34,$A3)</f>
        <v/>
      </c>
      <c r="H3">
        <f>COUNTIF(Schedule!$L$4:$L$34,$A3)</f>
        <v/>
      </c>
      <c r="I3">
        <f>COUNTIF(Schedule!$M$4:$M$34,$A3)</f>
        <v/>
      </c>
      <c r="J3">
        <f>SUM(H3:I3)</f>
        <v/>
      </c>
      <c r="K3">
        <f>IFERROR(IF(B3&lt;=VLOOKUP(TRIM($A3),Personnel!$A:$N,13,0),"OK","ΥΠΕΡΒΑΣΗ"),"!")</f>
        <v/>
      </c>
      <c r="L3">
        <f>IFERROR(IF(C3&lt;=VLOOKUP(TRIM($A3),Personnel!$A:$N,14,0),"OK","ΠΟΛΛΑ ΣΚ"),"!")</f>
        <v/>
      </c>
    </row>
    <row r="4">
      <c r="A4" t="inlineStr">
        <is>
          <t>ΦΙΝΕΣ ΛΟΥΚΑΣ</t>
        </is>
      </c>
      <c r="B4">
        <f>SUM(D4:G4)</f>
        <v/>
      </c>
      <c r="C4">
        <f>COUNTIFS(Schedule!$A$4:$A$34,"Σάββατο",Schedule!$C$4:$C$34,$A4)+COUNTIFS(Schedule!$A$4:$A$34,"Σάββατο",Schedule!$D$4:$D$34,$A4)+COUNTIFS(Schedule!$A$4:$A$34,"Σάββατο",Schedule!$E$4:$E$34,$A4)+COUNTIFS(Schedule!$A$4:$A$34,"Σάββατο",Schedule!$F$4:$F$34,$A4)+COUNTIFS(Schedule!$A$4:$A$34,"Σάββατο",Schedule!$G$4:$G$34,$A4)+COUNTIFS(Schedule!$A$4:$A$34,"Σάββατο",Schedule!$H$4:$H$34,$A4)+COUNTIFS(Schedule!$A$4:$A$34,"Σάββατο",Schedule!$I$4:$I$34,$A4)+COUNTIFS(Schedule!$A$4:$A$34,"Σάββατο",Schedule!$J$4:$J$34,$A4)+COUNTIFS(Schedule!$A$4:$A$34,"Σάββατο",Schedule!$K$4:$K$34,$A4)+COUNTIFS(Schedule!$A$4:$A$34,"Κυριακή",Schedule!$C$4:$C$34,$A4)+COUNTIFS(Schedule!$A$4:$A$34,"Κυριακή",Schedule!$D$4:$D$34,$A4)+COUNTIFS(Schedule!$A$4:$A$34,"Κυριακή",Schedule!$E$4:$E$34,$A4)+COUNTIFS(Schedule!$A$4:$A$34,"Κυριακή",Schedule!$F$4:$F$34,$A4)+COUNTIFS(Schedule!$A$4:$A$34,"Κυριακή",Schedule!$G$4:$G$34,$A4)+COUNTIFS(Schedule!$A$4:$A$34,"Κυριακή",Schedule!$H$4:$H$34,$A4)+COUNTIFS(Schedule!$A$4:$A$34,"Κυριακή",Schedule!$I$4:$I$34,$A4)+COUNTIFS(Schedule!$A$4:$A$34,"Κυριακή",Schedule!$J$4:$J$34,$A4)+COUNTIFS(Schedule!$A$4:$A$34,"Κυριακή",Schedule!$K$4:$K$34,$A4)</f>
        <v/>
      </c>
      <c r="D4">
        <f>COUNTIF(Schedule!$C$4:$C$34,$A4)+COUNTIF(Schedule!$D$4:$D$34,$A4)+COUNTIF(Schedule!$E$4:$E$34,$A4)+COUNTIF(Schedule!$F$4:$F$34,$A4)</f>
        <v/>
      </c>
      <c r="E4">
        <f>COUNTIF(Schedule!$G$4:$G$34,$A4)+COUNTIF(Schedule!$H$4:$H$34,$A4)</f>
        <v/>
      </c>
      <c r="F4">
        <f>COUNTIF(Schedule!$I$4:$I$34,$A4)+COUNTIF(Schedule!$J$4:$J$34,$A4)</f>
        <v/>
      </c>
      <c r="G4">
        <f>COUNTIF(Schedule!$K$4:$K$34,$A4)</f>
        <v/>
      </c>
      <c r="H4">
        <f>COUNTIF(Schedule!$L$4:$L$34,$A4)</f>
        <v/>
      </c>
      <c r="I4">
        <f>COUNTIF(Schedule!$M$4:$M$34,$A4)</f>
        <v/>
      </c>
      <c r="J4">
        <f>SUM(H4:I4)</f>
        <v/>
      </c>
      <c r="K4">
        <f>IFERROR(IF(B4&lt;=VLOOKUP(TRIM($A4),Personnel!$A:$N,13,0),"OK","ΥΠΕΡΒΑΣΗ"),"!")</f>
        <v/>
      </c>
      <c r="L4">
        <f>IFERROR(IF(C4&lt;=VLOOKUP(TRIM($A4),Personnel!$A:$N,14,0),"OK","ΠΟΛΛΑ ΣΚ"),"!")</f>
        <v/>
      </c>
    </row>
    <row r="5">
      <c r="A5" t="inlineStr">
        <is>
          <t>ΘΕΟΦΙΛΟΓΙΑΝΝΑΚΟΣ ΒΑΣΙΛΕΙΟΣ</t>
        </is>
      </c>
      <c r="B5">
        <f>SUM(D5:G5)</f>
        <v/>
      </c>
      <c r="C5">
        <f>COUNTIFS(Schedule!$A$4:$A$34,"Σάββατο",Schedule!$C$4:$C$34,$A5)+COUNTIFS(Schedule!$A$4:$A$34,"Σάββατο",Schedule!$D$4:$D$34,$A5)+COUNTIFS(Schedule!$A$4:$A$34,"Σάββατο",Schedule!$E$4:$E$34,$A5)+COUNTIFS(Schedule!$A$4:$A$34,"Σάββατο",Schedule!$F$4:$F$34,$A5)+COUNTIFS(Schedule!$A$4:$A$34,"Σάββατο",Schedule!$G$4:$G$34,$A5)+COUNTIFS(Schedule!$A$4:$A$34,"Σάββατο",Schedule!$H$4:$H$34,$A5)+COUNTIFS(Schedule!$A$4:$A$34,"Σάββατο",Schedule!$I$4:$I$34,$A5)+COUNTIFS(Schedule!$A$4:$A$34,"Σάββατο",Schedule!$J$4:$J$34,$A5)+COUNTIFS(Schedule!$A$4:$A$34,"Σάββατο",Schedule!$K$4:$K$34,$A5)+COUNTIFS(Schedule!$A$4:$A$34,"Κυριακή",Schedule!$C$4:$C$34,$A5)+COUNTIFS(Schedule!$A$4:$A$34,"Κυριακή",Schedule!$D$4:$D$34,$A5)+COUNTIFS(Schedule!$A$4:$A$34,"Κυριακή",Schedule!$E$4:$E$34,$A5)+COUNTIFS(Schedule!$A$4:$A$34,"Κυριακή",Schedule!$F$4:$F$34,$A5)+COUNTIFS(Schedule!$A$4:$A$34,"Κυριακή",Schedule!$G$4:$G$34,$A5)+COUNTIFS(Schedule!$A$4:$A$34,"Κυριακή",Schedule!$H$4:$H$34,$A5)+COUNTIFS(Schedule!$A$4:$A$34,"Κυριακή",Schedule!$I$4:$I$34,$A5)+COUNTIFS(Schedule!$A$4:$A$34,"Κυριακή",Schedule!$J$4:$J$34,$A5)+COUNTIFS(Schedule!$A$4:$A$34,"Κυριακή",Schedule!$K$4:$K$34,$A5)</f>
        <v/>
      </c>
      <c r="D5">
        <f>COUNTIF(Schedule!$C$4:$C$34,$A5)+COUNTIF(Schedule!$D$4:$D$34,$A5)+COUNTIF(Schedule!$E$4:$E$34,$A5)+COUNTIF(Schedule!$F$4:$F$34,$A5)</f>
        <v/>
      </c>
      <c r="E5">
        <f>COUNTIF(Schedule!$G$4:$G$34,$A5)+COUNTIF(Schedule!$H$4:$H$34,$A5)</f>
        <v/>
      </c>
      <c r="F5">
        <f>COUNTIF(Schedule!$I$4:$I$34,$A5)+COUNTIF(Schedule!$J$4:$J$34,$A5)</f>
        <v/>
      </c>
      <c r="G5">
        <f>COUNTIF(Schedule!$K$4:$K$34,$A5)</f>
        <v/>
      </c>
      <c r="H5">
        <f>COUNTIF(Schedule!$L$4:$L$34,$A5)</f>
        <v/>
      </c>
      <c r="I5">
        <f>COUNTIF(Schedule!$M$4:$M$34,$A5)</f>
        <v/>
      </c>
      <c r="J5">
        <f>SUM(H5:I5)</f>
        <v/>
      </c>
      <c r="K5">
        <f>IFERROR(IF(B5&lt;=VLOOKUP(TRIM($A5),Personnel!$A:$N,13,0),"OK","ΥΠΕΡΒΑΣΗ"),"!")</f>
        <v/>
      </c>
      <c r="L5">
        <f>IFERROR(IF(C5&lt;=VLOOKUP(TRIM($A5),Personnel!$A:$N,14,0),"OK","ΠΟΛΛΑ ΣΚ"),"!")</f>
        <v/>
      </c>
    </row>
    <row r="6">
      <c r="A6" t="inlineStr">
        <is>
          <t>ΜΑΓΚΟΣ ΓΕΩΡΓΙΟΣ(ΜΟΝΟ ΒΑΥΔΜ ΕΣΤ)</t>
        </is>
      </c>
      <c r="B6">
        <f>SUM(D6:G6)</f>
        <v/>
      </c>
      <c r="C6">
        <f>COUNTIFS(Schedule!$A$4:$A$34,"Σάββατο",Schedule!$C$4:$C$34,$A6)+COUNTIFS(Schedule!$A$4:$A$34,"Σάββατο",Schedule!$D$4:$D$34,$A6)+COUNTIFS(Schedule!$A$4:$A$34,"Σάββατο",Schedule!$E$4:$E$34,$A6)+COUNTIFS(Schedule!$A$4:$A$34,"Σάββατο",Schedule!$F$4:$F$34,$A6)+COUNTIFS(Schedule!$A$4:$A$34,"Σάββατο",Schedule!$G$4:$G$34,$A6)+COUNTIFS(Schedule!$A$4:$A$34,"Σάββατο",Schedule!$H$4:$H$34,$A6)+COUNTIFS(Schedule!$A$4:$A$34,"Σάββατο",Schedule!$I$4:$I$34,$A6)+COUNTIFS(Schedule!$A$4:$A$34,"Σάββατο",Schedule!$J$4:$J$34,$A6)+COUNTIFS(Schedule!$A$4:$A$34,"Σάββατο",Schedule!$K$4:$K$34,$A6)+COUNTIFS(Schedule!$A$4:$A$34,"Κυριακή",Schedule!$C$4:$C$34,$A6)+COUNTIFS(Schedule!$A$4:$A$34,"Κυριακή",Schedule!$D$4:$D$34,$A6)+COUNTIFS(Schedule!$A$4:$A$34,"Κυριακή",Schedule!$E$4:$E$34,$A6)+COUNTIFS(Schedule!$A$4:$A$34,"Κυριακή",Schedule!$F$4:$F$34,$A6)+COUNTIFS(Schedule!$A$4:$A$34,"Κυριακή",Schedule!$G$4:$G$34,$A6)+COUNTIFS(Schedule!$A$4:$A$34,"Κυριακή",Schedule!$H$4:$H$34,$A6)+COUNTIFS(Schedule!$A$4:$A$34,"Κυριακή",Schedule!$I$4:$I$34,$A6)+COUNTIFS(Schedule!$A$4:$A$34,"Κυριακή",Schedule!$J$4:$J$34,$A6)+COUNTIFS(Schedule!$A$4:$A$34,"Κυριακή",Schedule!$K$4:$K$34,$A6)</f>
        <v/>
      </c>
      <c r="D6">
        <f>COUNTIF(Schedule!$C$4:$C$34,$A6)+COUNTIF(Schedule!$D$4:$D$34,$A6)+COUNTIF(Schedule!$E$4:$E$34,$A6)+COUNTIF(Schedule!$F$4:$F$34,$A6)</f>
        <v/>
      </c>
      <c r="E6">
        <f>COUNTIF(Schedule!$G$4:$G$34,$A6)+COUNTIF(Schedule!$H$4:$H$34,$A6)</f>
        <v/>
      </c>
      <c r="F6">
        <f>COUNTIF(Schedule!$I$4:$I$34,$A6)+COUNTIF(Schedule!$J$4:$J$34,$A6)</f>
        <v/>
      </c>
      <c r="G6">
        <f>COUNTIF(Schedule!$K$4:$K$34,$A6)</f>
        <v/>
      </c>
      <c r="H6">
        <f>COUNTIF(Schedule!$L$4:$L$34,$A6)</f>
        <v/>
      </c>
      <c r="I6">
        <f>COUNTIF(Schedule!$M$4:$M$34,$A6)</f>
        <v/>
      </c>
      <c r="J6">
        <f>SUM(H6:I6)</f>
        <v/>
      </c>
      <c r="K6">
        <f>IFERROR(IF(B6&lt;=VLOOKUP(TRIM($A6),Personnel!$A:$N,13,0),"OK","ΥΠΕΡΒΑΣΗ"),"!")</f>
        <v/>
      </c>
      <c r="L6">
        <f>IFERROR(IF(C6&lt;=VLOOKUP(TRIM($A6),Personnel!$A:$N,14,0),"OK","ΠΟΛΛΑ ΣΚ"),"!")</f>
        <v/>
      </c>
    </row>
    <row r="7">
      <c r="A7" t="inlineStr">
        <is>
          <t>ΠΑΡΑΣΧΑΚΗΣ ΔΗΜΗΤΡΙΟΣ</t>
        </is>
      </c>
      <c r="B7">
        <f>SUM(D7:G7)</f>
        <v/>
      </c>
      <c r="C7">
        <f>COUNTIFS(Schedule!$A$4:$A$34,"Σάββατο",Schedule!$C$4:$C$34,$A7)+COUNTIFS(Schedule!$A$4:$A$34,"Σάββατο",Schedule!$D$4:$D$34,$A7)+COUNTIFS(Schedule!$A$4:$A$34,"Σάββατο",Schedule!$E$4:$E$34,$A7)+COUNTIFS(Schedule!$A$4:$A$34,"Σάββατο",Schedule!$F$4:$F$34,$A7)+COUNTIFS(Schedule!$A$4:$A$34,"Σάββατο",Schedule!$G$4:$G$34,$A7)+COUNTIFS(Schedule!$A$4:$A$34,"Σάββατο",Schedule!$H$4:$H$34,$A7)+COUNTIFS(Schedule!$A$4:$A$34,"Σάββατο",Schedule!$I$4:$I$34,$A7)+COUNTIFS(Schedule!$A$4:$A$34,"Σάββατο",Schedule!$J$4:$J$34,$A7)+COUNTIFS(Schedule!$A$4:$A$34,"Σάββατο",Schedule!$K$4:$K$34,$A7)+COUNTIFS(Schedule!$A$4:$A$34,"Κυριακή",Schedule!$C$4:$C$34,$A7)+COUNTIFS(Schedule!$A$4:$A$34,"Κυριακή",Schedule!$D$4:$D$34,$A7)+COUNTIFS(Schedule!$A$4:$A$34,"Κυριακή",Schedule!$E$4:$E$34,$A7)+COUNTIFS(Schedule!$A$4:$A$34,"Κυριακή",Schedule!$F$4:$F$34,$A7)+COUNTIFS(Schedule!$A$4:$A$34,"Κυριακή",Schedule!$G$4:$G$34,$A7)+COUNTIFS(Schedule!$A$4:$A$34,"Κυριακή",Schedule!$H$4:$H$34,$A7)+COUNTIFS(Schedule!$A$4:$A$34,"Κυριακή",Schedule!$I$4:$I$34,$A7)+COUNTIFS(Schedule!$A$4:$A$34,"Κυριακή",Schedule!$J$4:$J$34,$A7)+COUNTIFS(Schedule!$A$4:$A$34,"Κυριακή",Schedule!$K$4:$K$34,$A7)</f>
        <v/>
      </c>
      <c r="D7">
        <f>COUNTIF(Schedule!$C$4:$C$34,$A7)+COUNTIF(Schedule!$D$4:$D$34,$A7)+COUNTIF(Schedule!$E$4:$E$34,$A7)+COUNTIF(Schedule!$F$4:$F$34,$A7)</f>
        <v/>
      </c>
      <c r="E7">
        <f>COUNTIF(Schedule!$G$4:$G$34,$A7)+COUNTIF(Schedule!$H$4:$H$34,$A7)</f>
        <v/>
      </c>
      <c r="F7">
        <f>COUNTIF(Schedule!$I$4:$I$34,$A7)+COUNTIF(Schedule!$J$4:$J$34,$A7)</f>
        <v/>
      </c>
      <c r="G7">
        <f>COUNTIF(Schedule!$K$4:$K$34,$A7)</f>
        <v/>
      </c>
      <c r="H7">
        <f>COUNTIF(Schedule!$L$4:$L$34,$A7)</f>
        <v/>
      </c>
      <c r="I7">
        <f>COUNTIF(Schedule!$M$4:$M$34,$A7)</f>
        <v/>
      </c>
      <c r="J7">
        <f>SUM(H7:I7)</f>
        <v/>
      </c>
      <c r="K7">
        <f>IFERROR(IF(B7&lt;=VLOOKUP(TRIM($A7),Personnel!$A:$N,13,0),"OK","ΥΠΕΡΒΑΣΗ"),"!")</f>
        <v/>
      </c>
      <c r="L7">
        <f>IFERROR(IF(C7&lt;=VLOOKUP(TRIM($A7),Personnel!$A:$N,14,0),"OK","ΠΟΛΛΑ ΣΚ"),"!")</f>
        <v/>
      </c>
    </row>
    <row r="8">
      <c r="A8" t="inlineStr">
        <is>
          <t>ΜΠΑΖΑΝΗΣ ΘΩΜΑΣ ΝΙΚΟΛΑΟΣ (ΚΑΘ ΠΡΟΤΙΜΗΣΗ)</t>
        </is>
      </c>
      <c r="B8">
        <f>SUM(D8:G8)</f>
        <v/>
      </c>
      <c r="C8">
        <f>COUNTIFS(Schedule!$A$4:$A$34,"Σάββατο",Schedule!$C$4:$C$34,$A8)+COUNTIFS(Schedule!$A$4:$A$34,"Σάββατο",Schedule!$D$4:$D$34,$A8)+COUNTIFS(Schedule!$A$4:$A$34,"Σάββατο",Schedule!$E$4:$E$34,$A8)+COUNTIFS(Schedule!$A$4:$A$34,"Σάββατο",Schedule!$F$4:$F$34,$A8)+COUNTIFS(Schedule!$A$4:$A$34,"Σάββατο",Schedule!$G$4:$G$34,$A8)+COUNTIFS(Schedule!$A$4:$A$34,"Σάββατο",Schedule!$H$4:$H$34,$A8)+COUNTIFS(Schedule!$A$4:$A$34,"Σάββατο",Schedule!$I$4:$I$34,$A8)+COUNTIFS(Schedule!$A$4:$A$34,"Σάββατο",Schedule!$J$4:$J$34,$A8)+COUNTIFS(Schedule!$A$4:$A$34,"Σάββατο",Schedule!$K$4:$K$34,$A8)+COUNTIFS(Schedule!$A$4:$A$34,"Κυριακή",Schedule!$C$4:$C$34,$A8)+COUNTIFS(Schedule!$A$4:$A$34,"Κυριακή",Schedule!$D$4:$D$34,$A8)+COUNTIFS(Schedule!$A$4:$A$34,"Κυριακή",Schedule!$E$4:$E$34,$A8)+COUNTIFS(Schedule!$A$4:$A$34,"Κυριακή",Schedule!$F$4:$F$34,$A8)+COUNTIFS(Schedule!$A$4:$A$34,"Κυριακή",Schedule!$G$4:$G$34,$A8)+COUNTIFS(Schedule!$A$4:$A$34,"Κυριακή",Schedule!$H$4:$H$34,$A8)+COUNTIFS(Schedule!$A$4:$A$34,"Κυριακή",Schedule!$I$4:$I$34,$A8)+COUNTIFS(Schedule!$A$4:$A$34,"Κυριακή",Schedule!$J$4:$J$34,$A8)+COUNTIFS(Schedule!$A$4:$A$34,"Κυριακή",Schedule!$K$4:$K$34,$A8)</f>
        <v/>
      </c>
      <c r="D8">
        <f>COUNTIF(Schedule!$C$4:$C$34,$A8)+COUNTIF(Schedule!$D$4:$D$34,$A8)+COUNTIF(Schedule!$E$4:$E$34,$A8)+COUNTIF(Schedule!$F$4:$F$34,$A8)</f>
        <v/>
      </c>
      <c r="E8">
        <f>COUNTIF(Schedule!$G$4:$G$34,$A8)+COUNTIF(Schedule!$H$4:$H$34,$A8)</f>
        <v/>
      </c>
      <c r="F8">
        <f>COUNTIF(Schedule!$I$4:$I$34,$A8)+COUNTIF(Schedule!$J$4:$J$34,$A8)</f>
        <v/>
      </c>
      <c r="G8">
        <f>COUNTIF(Schedule!$K$4:$K$34,$A8)</f>
        <v/>
      </c>
      <c r="H8">
        <f>COUNTIF(Schedule!$L$4:$L$34,$A8)</f>
        <v/>
      </c>
      <c r="I8">
        <f>COUNTIF(Schedule!$M$4:$M$34,$A8)</f>
        <v/>
      </c>
      <c r="J8">
        <f>SUM(H8:I8)</f>
        <v/>
      </c>
      <c r="K8">
        <f>IFERROR(IF(B8&lt;=VLOOKUP(TRIM($A8),Personnel!$A:$N,13,0),"OK","ΥΠΕΡΒΑΣΗ"),"!")</f>
        <v/>
      </c>
      <c r="L8">
        <f>IFERROR(IF(C8&lt;=VLOOKUP(TRIM($A8),Personnel!$A:$N,14,0),"OK","ΠΟΛΛΑ ΣΚ"),"!")</f>
        <v/>
      </c>
    </row>
    <row r="9">
      <c r="A9" t="inlineStr">
        <is>
          <t>ΧΕΙΡΔΑΡΗΣ ΚΩΝΣΤΑΝΤΙΝΟΣ</t>
        </is>
      </c>
      <c r="B9">
        <f>SUM(D9:G9)</f>
        <v/>
      </c>
      <c r="C9">
        <f>COUNTIFS(Schedule!$A$4:$A$34,"Σάββατο",Schedule!$C$4:$C$34,$A9)+COUNTIFS(Schedule!$A$4:$A$34,"Σάββατο",Schedule!$D$4:$D$34,$A9)+COUNTIFS(Schedule!$A$4:$A$34,"Σάββατο",Schedule!$E$4:$E$34,$A9)+COUNTIFS(Schedule!$A$4:$A$34,"Σάββατο",Schedule!$F$4:$F$34,$A9)+COUNTIFS(Schedule!$A$4:$A$34,"Σάββατο",Schedule!$G$4:$G$34,$A9)+COUNTIFS(Schedule!$A$4:$A$34,"Σάββατο",Schedule!$H$4:$H$34,$A9)+COUNTIFS(Schedule!$A$4:$A$34,"Σάββατο",Schedule!$I$4:$I$34,$A9)+COUNTIFS(Schedule!$A$4:$A$34,"Σάββατο",Schedule!$J$4:$J$34,$A9)+COUNTIFS(Schedule!$A$4:$A$34,"Σάββατο",Schedule!$K$4:$K$34,$A9)+COUNTIFS(Schedule!$A$4:$A$34,"Κυριακή",Schedule!$C$4:$C$34,$A9)+COUNTIFS(Schedule!$A$4:$A$34,"Κυριακή",Schedule!$D$4:$D$34,$A9)+COUNTIFS(Schedule!$A$4:$A$34,"Κυριακή",Schedule!$E$4:$E$34,$A9)+COUNTIFS(Schedule!$A$4:$A$34,"Κυριακή",Schedule!$F$4:$F$34,$A9)+COUNTIFS(Schedule!$A$4:$A$34,"Κυριακή",Schedule!$G$4:$G$34,$A9)+COUNTIFS(Schedule!$A$4:$A$34,"Κυριακή",Schedule!$H$4:$H$34,$A9)+COUNTIFS(Schedule!$A$4:$A$34,"Κυριακή",Schedule!$I$4:$I$34,$A9)+COUNTIFS(Schedule!$A$4:$A$34,"Κυριακή",Schedule!$J$4:$J$34,$A9)+COUNTIFS(Schedule!$A$4:$A$34,"Κυριακή",Schedule!$K$4:$K$34,$A9)</f>
        <v/>
      </c>
      <c r="D9">
        <f>COUNTIF(Schedule!$C$4:$C$34,$A9)+COUNTIF(Schedule!$D$4:$D$34,$A9)+COUNTIF(Schedule!$E$4:$E$34,$A9)+COUNTIF(Schedule!$F$4:$F$34,$A9)</f>
        <v/>
      </c>
      <c r="E9">
        <f>COUNTIF(Schedule!$G$4:$G$34,$A9)+COUNTIF(Schedule!$H$4:$H$34,$A9)</f>
        <v/>
      </c>
      <c r="F9">
        <f>COUNTIF(Schedule!$I$4:$I$34,$A9)+COUNTIF(Schedule!$J$4:$J$34,$A9)</f>
        <v/>
      </c>
      <c r="G9">
        <f>COUNTIF(Schedule!$K$4:$K$34,$A9)</f>
        <v/>
      </c>
      <c r="H9">
        <f>COUNTIF(Schedule!$L$4:$L$34,$A9)</f>
        <v/>
      </c>
      <c r="I9">
        <f>COUNTIF(Schedule!$M$4:$M$34,$A9)</f>
        <v/>
      </c>
      <c r="J9">
        <f>SUM(H9:I9)</f>
        <v/>
      </c>
      <c r="K9">
        <f>IFERROR(IF(B9&lt;=VLOOKUP(TRIM($A9),Personnel!$A:$N,13,0),"OK","ΥΠΕΡΒΑΣΗ"),"!")</f>
        <v/>
      </c>
      <c r="L9">
        <f>IFERROR(IF(C9&lt;=VLOOKUP(TRIM($A9),Personnel!$A:$N,14,0),"OK","ΠΟΛΛΑ ΣΚ"),"!")</f>
        <v/>
      </c>
    </row>
    <row r="10">
      <c r="A10" t="inlineStr">
        <is>
          <t>ΖΑΡΜΑΚΟΥΠΗΣ ΓΕΩΡΓΙΟΣ</t>
        </is>
      </c>
      <c r="B10">
        <f>SUM(D10:G10)</f>
        <v/>
      </c>
      <c r="C10">
        <f>COUNTIFS(Schedule!$A$4:$A$34,"Σάββατο",Schedule!$C$4:$C$34,$A10)+COUNTIFS(Schedule!$A$4:$A$34,"Σάββατο",Schedule!$D$4:$D$34,$A10)+COUNTIFS(Schedule!$A$4:$A$34,"Σάββατο",Schedule!$E$4:$E$34,$A10)+COUNTIFS(Schedule!$A$4:$A$34,"Σάββατο",Schedule!$F$4:$F$34,$A10)+COUNTIFS(Schedule!$A$4:$A$34,"Σάββατο",Schedule!$G$4:$G$34,$A10)+COUNTIFS(Schedule!$A$4:$A$34,"Σάββατο",Schedule!$H$4:$H$34,$A10)+COUNTIFS(Schedule!$A$4:$A$34,"Σάββατο",Schedule!$I$4:$I$34,$A10)+COUNTIFS(Schedule!$A$4:$A$34,"Σάββατο",Schedule!$J$4:$J$34,$A10)+COUNTIFS(Schedule!$A$4:$A$34,"Σάββατο",Schedule!$K$4:$K$34,$A10)+COUNTIFS(Schedule!$A$4:$A$34,"Κυριακή",Schedule!$C$4:$C$34,$A10)+COUNTIFS(Schedule!$A$4:$A$34,"Κυριακή",Schedule!$D$4:$D$34,$A10)+COUNTIFS(Schedule!$A$4:$A$34,"Κυριακή",Schedule!$E$4:$E$34,$A10)+COUNTIFS(Schedule!$A$4:$A$34,"Κυριακή",Schedule!$F$4:$F$34,$A10)+COUNTIFS(Schedule!$A$4:$A$34,"Κυριακή",Schedule!$G$4:$G$34,$A10)+COUNTIFS(Schedule!$A$4:$A$34,"Κυριακή",Schedule!$H$4:$H$34,$A10)+COUNTIFS(Schedule!$A$4:$A$34,"Κυριακή",Schedule!$I$4:$I$34,$A10)+COUNTIFS(Schedule!$A$4:$A$34,"Κυριακή",Schedule!$J$4:$J$34,$A10)+COUNTIFS(Schedule!$A$4:$A$34,"Κυριακή",Schedule!$K$4:$K$34,$A10)</f>
        <v/>
      </c>
      <c r="D10">
        <f>COUNTIF(Schedule!$C$4:$C$34,$A10)+COUNTIF(Schedule!$D$4:$D$34,$A10)+COUNTIF(Schedule!$E$4:$E$34,$A10)+COUNTIF(Schedule!$F$4:$F$34,$A10)</f>
        <v/>
      </c>
      <c r="E10">
        <f>COUNTIF(Schedule!$G$4:$G$34,$A10)+COUNTIF(Schedule!$H$4:$H$34,$A10)</f>
        <v/>
      </c>
      <c r="F10">
        <f>COUNTIF(Schedule!$I$4:$I$34,$A10)+COUNTIF(Schedule!$J$4:$J$34,$A10)</f>
        <v/>
      </c>
      <c r="G10">
        <f>COUNTIF(Schedule!$K$4:$K$34,$A10)</f>
        <v/>
      </c>
      <c r="H10">
        <f>COUNTIF(Schedule!$L$4:$L$34,$A10)</f>
        <v/>
      </c>
      <c r="I10">
        <f>COUNTIF(Schedule!$M$4:$M$34,$A10)</f>
        <v/>
      </c>
      <c r="J10">
        <f>SUM(H10:I10)</f>
        <v/>
      </c>
      <c r="K10">
        <f>IFERROR(IF(B10&lt;=VLOOKUP(TRIM($A10),Personnel!$A:$N,13,0),"OK","ΥΠΕΡΒΑΣΗ"),"!")</f>
        <v/>
      </c>
      <c r="L10">
        <f>IFERROR(IF(C10&lt;=VLOOKUP(TRIM($A10),Personnel!$A:$N,14,0),"OK","ΠΟΛΛΑ ΣΚ"),"!")</f>
        <v/>
      </c>
    </row>
    <row r="11">
      <c r="A11" t="inlineStr">
        <is>
          <t>ΣΤΑΜΑΤΟΓΛΟΥ ΔΗΜΗΤΡΙΟΣ</t>
        </is>
      </c>
      <c r="B11">
        <f>SUM(D11:G11)</f>
        <v/>
      </c>
      <c r="C11">
        <f>COUNTIFS(Schedule!$A$4:$A$34,"Σάββατο",Schedule!$C$4:$C$34,$A11)+COUNTIFS(Schedule!$A$4:$A$34,"Σάββατο",Schedule!$D$4:$D$34,$A11)+COUNTIFS(Schedule!$A$4:$A$34,"Σάββατο",Schedule!$E$4:$E$34,$A11)+COUNTIFS(Schedule!$A$4:$A$34,"Σάββατο",Schedule!$F$4:$F$34,$A11)+COUNTIFS(Schedule!$A$4:$A$34,"Σάββατο",Schedule!$G$4:$G$34,$A11)+COUNTIFS(Schedule!$A$4:$A$34,"Σάββατο",Schedule!$H$4:$H$34,$A11)+COUNTIFS(Schedule!$A$4:$A$34,"Σάββατο",Schedule!$I$4:$I$34,$A11)+COUNTIFS(Schedule!$A$4:$A$34,"Σάββατο",Schedule!$J$4:$J$34,$A11)+COUNTIFS(Schedule!$A$4:$A$34,"Σάββατο",Schedule!$K$4:$K$34,$A11)+COUNTIFS(Schedule!$A$4:$A$34,"Κυριακή",Schedule!$C$4:$C$34,$A11)+COUNTIFS(Schedule!$A$4:$A$34,"Κυριακή",Schedule!$D$4:$D$34,$A11)+COUNTIFS(Schedule!$A$4:$A$34,"Κυριακή",Schedule!$E$4:$E$34,$A11)+COUNTIFS(Schedule!$A$4:$A$34,"Κυριακή",Schedule!$F$4:$F$34,$A11)+COUNTIFS(Schedule!$A$4:$A$34,"Κυριακή",Schedule!$G$4:$G$34,$A11)+COUNTIFS(Schedule!$A$4:$A$34,"Κυριακή",Schedule!$H$4:$H$34,$A11)+COUNTIFS(Schedule!$A$4:$A$34,"Κυριακή",Schedule!$I$4:$I$34,$A11)+COUNTIFS(Schedule!$A$4:$A$34,"Κυριακή",Schedule!$J$4:$J$34,$A11)+COUNTIFS(Schedule!$A$4:$A$34,"Κυριακή",Schedule!$K$4:$K$34,$A11)</f>
        <v/>
      </c>
      <c r="D11">
        <f>COUNTIF(Schedule!$C$4:$C$34,$A11)+COUNTIF(Schedule!$D$4:$D$34,$A11)+COUNTIF(Schedule!$E$4:$E$34,$A11)+COUNTIF(Schedule!$F$4:$F$34,$A11)</f>
        <v/>
      </c>
      <c r="E11">
        <f>COUNTIF(Schedule!$G$4:$G$34,$A11)+COUNTIF(Schedule!$H$4:$H$34,$A11)</f>
        <v/>
      </c>
      <c r="F11">
        <f>COUNTIF(Schedule!$I$4:$I$34,$A11)+COUNTIF(Schedule!$J$4:$J$34,$A11)</f>
        <v/>
      </c>
      <c r="G11">
        <f>COUNTIF(Schedule!$K$4:$K$34,$A11)</f>
        <v/>
      </c>
      <c r="H11">
        <f>COUNTIF(Schedule!$L$4:$L$34,$A11)</f>
        <v/>
      </c>
      <c r="I11">
        <f>COUNTIF(Schedule!$M$4:$M$34,$A11)</f>
        <v/>
      </c>
      <c r="J11">
        <f>SUM(H11:I11)</f>
        <v/>
      </c>
      <c r="K11">
        <f>IFERROR(IF(B11&lt;=VLOOKUP(TRIM($A11),Personnel!$A:$N,13,0),"OK","ΥΠΕΡΒΑΣΗ"),"!")</f>
        <v/>
      </c>
      <c r="L11">
        <f>IFERROR(IF(C11&lt;=VLOOKUP(TRIM($A11),Personnel!$A:$N,14,0),"OK","ΠΟΛΛΑ ΣΚ"),"!")</f>
        <v/>
      </c>
    </row>
    <row r="12">
      <c r="A12" t="inlineStr">
        <is>
          <t>ΜΥΡΤΑ ΡΕΝΑΤΟ</t>
        </is>
      </c>
      <c r="B12">
        <f>SUM(D12:G12)</f>
        <v/>
      </c>
      <c r="C12">
        <f>COUNTIFS(Schedule!$A$4:$A$34,"Σάββατο",Schedule!$C$4:$C$34,$A12)+COUNTIFS(Schedule!$A$4:$A$34,"Σάββατο",Schedule!$D$4:$D$34,$A12)+COUNTIFS(Schedule!$A$4:$A$34,"Σάββατο",Schedule!$E$4:$E$34,$A12)+COUNTIFS(Schedule!$A$4:$A$34,"Σάββατο",Schedule!$F$4:$F$34,$A12)+COUNTIFS(Schedule!$A$4:$A$34,"Σάββατο",Schedule!$G$4:$G$34,$A12)+COUNTIFS(Schedule!$A$4:$A$34,"Σάββατο",Schedule!$H$4:$H$34,$A12)+COUNTIFS(Schedule!$A$4:$A$34,"Σάββατο",Schedule!$I$4:$I$34,$A12)+COUNTIFS(Schedule!$A$4:$A$34,"Σάββατο",Schedule!$J$4:$J$34,$A12)+COUNTIFS(Schedule!$A$4:$A$34,"Σάββατο",Schedule!$K$4:$K$34,$A12)+COUNTIFS(Schedule!$A$4:$A$34,"Κυριακή",Schedule!$C$4:$C$34,$A12)+COUNTIFS(Schedule!$A$4:$A$34,"Κυριακή",Schedule!$D$4:$D$34,$A12)+COUNTIFS(Schedule!$A$4:$A$34,"Κυριακή",Schedule!$E$4:$E$34,$A12)+COUNTIFS(Schedule!$A$4:$A$34,"Κυριακή",Schedule!$F$4:$F$34,$A12)+COUNTIFS(Schedule!$A$4:$A$34,"Κυριακή",Schedule!$G$4:$G$34,$A12)+COUNTIFS(Schedule!$A$4:$A$34,"Κυριακή",Schedule!$H$4:$H$34,$A12)+COUNTIFS(Schedule!$A$4:$A$34,"Κυριακή",Schedule!$I$4:$I$34,$A12)+COUNTIFS(Schedule!$A$4:$A$34,"Κυριακή",Schedule!$J$4:$J$34,$A12)+COUNTIFS(Schedule!$A$4:$A$34,"Κυριακή",Schedule!$K$4:$K$34,$A12)</f>
        <v/>
      </c>
      <c r="D12">
        <f>COUNTIF(Schedule!$C$4:$C$34,$A12)+COUNTIF(Schedule!$D$4:$D$34,$A12)+COUNTIF(Schedule!$E$4:$E$34,$A12)+COUNTIF(Schedule!$F$4:$F$34,$A12)</f>
        <v/>
      </c>
      <c r="E12">
        <f>COUNTIF(Schedule!$G$4:$G$34,$A12)+COUNTIF(Schedule!$H$4:$H$34,$A12)</f>
        <v/>
      </c>
      <c r="F12">
        <f>COUNTIF(Schedule!$I$4:$I$34,$A12)+COUNTIF(Schedule!$J$4:$J$34,$A12)</f>
        <v/>
      </c>
      <c r="G12">
        <f>COUNTIF(Schedule!$K$4:$K$34,$A12)</f>
        <v/>
      </c>
      <c r="H12">
        <f>COUNTIF(Schedule!$L$4:$L$34,$A12)</f>
        <v/>
      </c>
      <c r="I12">
        <f>COUNTIF(Schedule!$M$4:$M$34,$A12)</f>
        <v/>
      </c>
      <c r="J12">
        <f>SUM(H12:I12)</f>
        <v/>
      </c>
      <c r="K12">
        <f>IFERROR(IF(B12&lt;=VLOOKUP(TRIM($A12),Personnel!$A:$N,13,0),"OK","ΥΠΕΡΒΑΣΗ"),"!")</f>
        <v/>
      </c>
      <c r="L12">
        <f>IFERROR(IF(C12&lt;=VLOOKUP(TRIM($A12),Personnel!$A:$N,14,0),"OK","ΠΟΛΛΑ ΣΚ"),"!")</f>
        <v/>
      </c>
    </row>
    <row r="13">
      <c r="A13" t="inlineStr">
        <is>
          <t>ΜΙΧΑΛΙΩΔΗΣ ΔΟΥΚΑΣ ΤΑΞΙΑΡΧΗΣ</t>
        </is>
      </c>
      <c r="B13">
        <f>SUM(D13:G13)</f>
        <v/>
      </c>
      <c r="C13">
        <f>COUNTIFS(Schedule!$A$4:$A$34,"Σάββατο",Schedule!$C$4:$C$34,$A13)+COUNTIFS(Schedule!$A$4:$A$34,"Σάββατο",Schedule!$D$4:$D$34,$A13)+COUNTIFS(Schedule!$A$4:$A$34,"Σάββατο",Schedule!$E$4:$E$34,$A13)+COUNTIFS(Schedule!$A$4:$A$34,"Σάββατο",Schedule!$F$4:$F$34,$A13)+COUNTIFS(Schedule!$A$4:$A$34,"Σάββατο",Schedule!$G$4:$G$34,$A13)+COUNTIFS(Schedule!$A$4:$A$34,"Σάββατο",Schedule!$H$4:$H$34,$A13)+COUNTIFS(Schedule!$A$4:$A$34,"Σάββατο",Schedule!$I$4:$I$34,$A13)+COUNTIFS(Schedule!$A$4:$A$34,"Σάββατο",Schedule!$J$4:$J$34,$A13)+COUNTIFS(Schedule!$A$4:$A$34,"Σάββατο",Schedule!$K$4:$K$34,$A13)+COUNTIFS(Schedule!$A$4:$A$34,"Κυριακή",Schedule!$C$4:$C$34,$A13)+COUNTIFS(Schedule!$A$4:$A$34,"Κυριακή",Schedule!$D$4:$D$34,$A13)+COUNTIFS(Schedule!$A$4:$A$34,"Κυριακή",Schedule!$E$4:$E$34,$A13)+COUNTIFS(Schedule!$A$4:$A$34,"Κυριακή",Schedule!$F$4:$F$34,$A13)+COUNTIFS(Schedule!$A$4:$A$34,"Κυριακή",Schedule!$G$4:$G$34,$A13)+COUNTIFS(Schedule!$A$4:$A$34,"Κυριακή",Schedule!$H$4:$H$34,$A13)+COUNTIFS(Schedule!$A$4:$A$34,"Κυριακή",Schedule!$I$4:$I$34,$A13)+COUNTIFS(Schedule!$A$4:$A$34,"Κυριακή",Schedule!$J$4:$J$34,$A13)+COUNTIFS(Schedule!$A$4:$A$34,"Κυριακή",Schedule!$K$4:$K$34,$A13)</f>
        <v/>
      </c>
      <c r="D13">
        <f>COUNTIF(Schedule!$C$4:$C$34,$A13)+COUNTIF(Schedule!$D$4:$D$34,$A13)+COUNTIF(Schedule!$E$4:$E$34,$A13)+COUNTIF(Schedule!$F$4:$F$34,$A13)</f>
        <v/>
      </c>
      <c r="E13">
        <f>COUNTIF(Schedule!$G$4:$G$34,$A13)+COUNTIF(Schedule!$H$4:$H$34,$A13)</f>
        <v/>
      </c>
      <c r="F13">
        <f>COUNTIF(Schedule!$I$4:$I$34,$A13)+COUNTIF(Schedule!$J$4:$J$34,$A13)</f>
        <v/>
      </c>
      <c r="G13">
        <f>COUNTIF(Schedule!$K$4:$K$34,$A13)</f>
        <v/>
      </c>
      <c r="H13">
        <f>COUNTIF(Schedule!$L$4:$L$34,$A13)</f>
        <v/>
      </c>
      <c r="I13">
        <f>COUNTIF(Schedule!$M$4:$M$34,$A13)</f>
        <v/>
      </c>
      <c r="J13">
        <f>SUM(H13:I13)</f>
        <v/>
      </c>
      <c r="K13">
        <f>IFERROR(IF(B13&lt;=VLOOKUP(TRIM($A13),Personnel!$A:$N,13,0),"OK","ΥΠΕΡΒΑΣΗ"),"!")</f>
        <v/>
      </c>
      <c r="L13">
        <f>IFERROR(IF(C13&lt;=VLOOKUP(TRIM($A13),Personnel!$A:$N,14,0),"OK","ΠΟΛΛΑ ΣΚ"),"!")</f>
        <v/>
      </c>
    </row>
    <row r="14">
      <c r="A14" t="inlineStr">
        <is>
          <t>ΜΠΟΥΚΟΥΡΑΣ ΕΠΑΜΕΙΝΩΝΔΑΣ</t>
        </is>
      </c>
      <c r="B14">
        <f>SUM(D14:G14)</f>
        <v/>
      </c>
      <c r="C14">
        <f>COUNTIFS(Schedule!$A$4:$A$34,"Σάββατο",Schedule!$C$4:$C$34,$A14)+COUNTIFS(Schedule!$A$4:$A$34,"Σάββατο",Schedule!$D$4:$D$34,$A14)+COUNTIFS(Schedule!$A$4:$A$34,"Σάββατο",Schedule!$E$4:$E$34,$A14)+COUNTIFS(Schedule!$A$4:$A$34,"Σάββατο",Schedule!$F$4:$F$34,$A14)+COUNTIFS(Schedule!$A$4:$A$34,"Σάββατο",Schedule!$G$4:$G$34,$A14)+COUNTIFS(Schedule!$A$4:$A$34,"Σάββατο",Schedule!$H$4:$H$34,$A14)+COUNTIFS(Schedule!$A$4:$A$34,"Σάββατο",Schedule!$I$4:$I$34,$A14)+COUNTIFS(Schedule!$A$4:$A$34,"Σάββατο",Schedule!$J$4:$J$34,$A14)+COUNTIFS(Schedule!$A$4:$A$34,"Σάββατο",Schedule!$K$4:$K$34,$A14)+COUNTIFS(Schedule!$A$4:$A$34,"Κυριακή",Schedule!$C$4:$C$34,$A14)+COUNTIFS(Schedule!$A$4:$A$34,"Κυριακή",Schedule!$D$4:$D$34,$A14)+COUNTIFS(Schedule!$A$4:$A$34,"Κυριακή",Schedule!$E$4:$E$34,$A14)+COUNTIFS(Schedule!$A$4:$A$34,"Κυριακή",Schedule!$F$4:$F$34,$A14)+COUNTIFS(Schedule!$A$4:$A$34,"Κυριακή",Schedule!$G$4:$G$34,$A14)+COUNTIFS(Schedule!$A$4:$A$34,"Κυριακή",Schedule!$H$4:$H$34,$A14)+COUNTIFS(Schedule!$A$4:$A$34,"Κυριακή",Schedule!$I$4:$I$34,$A14)+COUNTIFS(Schedule!$A$4:$A$34,"Κυριακή",Schedule!$J$4:$J$34,$A14)+COUNTIFS(Schedule!$A$4:$A$34,"Κυριακή",Schedule!$K$4:$K$34,$A14)</f>
        <v/>
      </c>
      <c r="D14">
        <f>COUNTIF(Schedule!$C$4:$C$34,$A14)+COUNTIF(Schedule!$D$4:$D$34,$A14)+COUNTIF(Schedule!$E$4:$E$34,$A14)+COUNTIF(Schedule!$F$4:$F$34,$A14)</f>
        <v/>
      </c>
      <c r="E14">
        <f>COUNTIF(Schedule!$G$4:$G$34,$A14)+COUNTIF(Schedule!$H$4:$H$34,$A14)</f>
        <v/>
      </c>
      <c r="F14">
        <f>COUNTIF(Schedule!$I$4:$I$34,$A14)+COUNTIF(Schedule!$J$4:$J$34,$A14)</f>
        <v/>
      </c>
      <c r="G14">
        <f>COUNTIF(Schedule!$K$4:$K$34,$A14)</f>
        <v/>
      </c>
      <c r="H14">
        <f>COUNTIF(Schedule!$L$4:$L$34,$A14)</f>
        <v/>
      </c>
      <c r="I14">
        <f>COUNTIF(Schedule!$M$4:$M$34,$A14)</f>
        <v/>
      </c>
      <c r="J14">
        <f>SUM(H14:I14)</f>
        <v/>
      </c>
      <c r="K14">
        <f>IFERROR(IF(B14&lt;=VLOOKUP(TRIM($A14),Personnel!$A:$N,13,0),"OK","ΥΠΕΡΒΑΣΗ"),"!")</f>
        <v/>
      </c>
      <c r="L14">
        <f>IFERROR(IF(C14&lt;=VLOOKUP(TRIM($A14),Personnel!$A:$N,14,0),"OK","ΠΟΛΛΑ ΣΚ"),"!")</f>
        <v/>
      </c>
    </row>
    <row r="15">
      <c r="A15" t="inlineStr">
        <is>
          <t>ΚΙΝΙΝΗΣ ΔΗΜΗΤΡΙΟΣ</t>
        </is>
      </c>
      <c r="B15">
        <f>SUM(D15:G15)</f>
        <v/>
      </c>
      <c r="C15">
        <f>COUNTIFS(Schedule!$A$4:$A$34,"Σάββατο",Schedule!$C$4:$C$34,$A15)+COUNTIFS(Schedule!$A$4:$A$34,"Σάββατο",Schedule!$D$4:$D$34,$A15)+COUNTIFS(Schedule!$A$4:$A$34,"Σάββατο",Schedule!$E$4:$E$34,$A15)+COUNTIFS(Schedule!$A$4:$A$34,"Σάββατο",Schedule!$F$4:$F$34,$A15)+COUNTIFS(Schedule!$A$4:$A$34,"Σάββατο",Schedule!$G$4:$G$34,$A15)+COUNTIFS(Schedule!$A$4:$A$34,"Σάββατο",Schedule!$H$4:$H$34,$A15)+COUNTIFS(Schedule!$A$4:$A$34,"Σάββατο",Schedule!$I$4:$I$34,$A15)+COUNTIFS(Schedule!$A$4:$A$34,"Σάββατο",Schedule!$J$4:$J$34,$A15)+COUNTIFS(Schedule!$A$4:$A$34,"Σάββατο",Schedule!$K$4:$K$34,$A15)+COUNTIFS(Schedule!$A$4:$A$34,"Κυριακή",Schedule!$C$4:$C$34,$A15)+COUNTIFS(Schedule!$A$4:$A$34,"Κυριακή",Schedule!$D$4:$D$34,$A15)+COUNTIFS(Schedule!$A$4:$A$34,"Κυριακή",Schedule!$E$4:$E$34,$A15)+COUNTIFS(Schedule!$A$4:$A$34,"Κυριακή",Schedule!$F$4:$F$34,$A15)+COUNTIFS(Schedule!$A$4:$A$34,"Κυριακή",Schedule!$G$4:$G$34,$A15)+COUNTIFS(Schedule!$A$4:$A$34,"Κυριακή",Schedule!$H$4:$H$34,$A15)+COUNTIFS(Schedule!$A$4:$A$34,"Κυριακή",Schedule!$I$4:$I$34,$A15)+COUNTIFS(Schedule!$A$4:$A$34,"Κυριακή",Schedule!$J$4:$J$34,$A15)+COUNTIFS(Schedule!$A$4:$A$34,"Κυριακή",Schedule!$K$4:$K$34,$A15)</f>
        <v/>
      </c>
      <c r="D15">
        <f>COUNTIF(Schedule!$C$4:$C$34,$A15)+COUNTIF(Schedule!$D$4:$D$34,$A15)+COUNTIF(Schedule!$E$4:$E$34,$A15)+COUNTIF(Schedule!$F$4:$F$34,$A15)</f>
        <v/>
      </c>
      <c r="E15">
        <f>COUNTIF(Schedule!$G$4:$G$34,$A15)+COUNTIF(Schedule!$H$4:$H$34,$A15)</f>
        <v/>
      </c>
      <c r="F15">
        <f>COUNTIF(Schedule!$I$4:$I$34,$A15)+COUNTIF(Schedule!$J$4:$J$34,$A15)</f>
        <v/>
      </c>
      <c r="G15">
        <f>COUNTIF(Schedule!$K$4:$K$34,$A15)</f>
        <v/>
      </c>
      <c r="H15">
        <f>COUNTIF(Schedule!$L$4:$L$34,$A15)</f>
        <v/>
      </c>
      <c r="I15">
        <f>COUNTIF(Schedule!$M$4:$M$34,$A15)</f>
        <v/>
      </c>
      <c r="J15">
        <f>SUM(H15:I15)</f>
        <v/>
      </c>
      <c r="K15">
        <f>IFERROR(IF(B15&lt;=VLOOKUP(TRIM($A15),Personnel!$A:$N,13,0),"OK","ΥΠΕΡΒΑΣΗ"),"!")</f>
        <v/>
      </c>
      <c r="L15">
        <f>IFERROR(IF(C15&lt;=VLOOKUP(TRIM($A15),Personnel!$A:$N,14,0),"OK","ΠΟΛΛΑ ΣΚ"),"!")</f>
        <v/>
      </c>
    </row>
    <row r="16">
      <c r="A16" t="inlineStr">
        <is>
          <t>ΜΠΑΡΑΛΗΣ ΗΛΙΑΣ</t>
        </is>
      </c>
      <c r="B16">
        <f>SUM(D16:G16)</f>
        <v/>
      </c>
      <c r="C16">
        <f>COUNTIFS(Schedule!$A$4:$A$34,"Σάββατο",Schedule!$C$4:$C$34,$A16)+COUNTIFS(Schedule!$A$4:$A$34,"Σάββατο",Schedule!$D$4:$D$34,$A16)+COUNTIFS(Schedule!$A$4:$A$34,"Σάββατο",Schedule!$E$4:$E$34,$A16)+COUNTIFS(Schedule!$A$4:$A$34,"Σάββατο",Schedule!$F$4:$F$34,$A16)+COUNTIFS(Schedule!$A$4:$A$34,"Σάββατο",Schedule!$G$4:$G$34,$A16)+COUNTIFS(Schedule!$A$4:$A$34,"Σάββατο",Schedule!$H$4:$H$34,$A16)+COUNTIFS(Schedule!$A$4:$A$34,"Σάββατο",Schedule!$I$4:$I$34,$A16)+COUNTIFS(Schedule!$A$4:$A$34,"Σάββατο",Schedule!$J$4:$J$34,$A16)+COUNTIFS(Schedule!$A$4:$A$34,"Σάββατο",Schedule!$K$4:$K$34,$A16)+COUNTIFS(Schedule!$A$4:$A$34,"Κυριακή",Schedule!$C$4:$C$34,$A16)+COUNTIFS(Schedule!$A$4:$A$34,"Κυριακή",Schedule!$D$4:$D$34,$A16)+COUNTIFS(Schedule!$A$4:$A$34,"Κυριακή",Schedule!$E$4:$E$34,$A16)+COUNTIFS(Schedule!$A$4:$A$34,"Κυριακή",Schedule!$F$4:$F$34,$A16)+COUNTIFS(Schedule!$A$4:$A$34,"Κυριακή",Schedule!$G$4:$G$34,$A16)+COUNTIFS(Schedule!$A$4:$A$34,"Κυριακή",Schedule!$H$4:$H$34,$A16)+COUNTIFS(Schedule!$A$4:$A$34,"Κυριακή",Schedule!$I$4:$I$34,$A16)+COUNTIFS(Schedule!$A$4:$A$34,"Κυριακή",Schedule!$J$4:$J$34,$A16)+COUNTIFS(Schedule!$A$4:$A$34,"Κυριακή",Schedule!$K$4:$K$34,$A16)</f>
        <v/>
      </c>
      <c r="D16">
        <f>COUNTIF(Schedule!$C$4:$C$34,$A16)+COUNTIF(Schedule!$D$4:$D$34,$A16)+COUNTIF(Schedule!$E$4:$E$34,$A16)+COUNTIF(Schedule!$F$4:$F$34,$A16)</f>
        <v/>
      </c>
      <c r="E16">
        <f>COUNTIF(Schedule!$G$4:$G$34,$A16)+COUNTIF(Schedule!$H$4:$H$34,$A16)</f>
        <v/>
      </c>
      <c r="F16">
        <f>COUNTIF(Schedule!$I$4:$I$34,$A16)+COUNTIF(Schedule!$J$4:$J$34,$A16)</f>
        <v/>
      </c>
      <c r="G16">
        <f>COUNTIF(Schedule!$K$4:$K$34,$A16)</f>
        <v/>
      </c>
      <c r="H16">
        <f>COUNTIF(Schedule!$L$4:$L$34,$A16)</f>
        <v/>
      </c>
      <c r="I16">
        <f>COUNTIF(Schedule!$M$4:$M$34,$A16)</f>
        <v/>
      </c>
      <c r="J16">
        <f>SUM(H16:I16)</f>
        <v/>
      </c>
      <c r="K16">
        <f>IFERROR(IF(B16&lt;=VLOOKUP(TRIM($A16),Personnel!$A:$N,13,0),"OK","ΥΠΕΡΒΑΣΗ"),"!")</f>
        <v/>
      </c>
      <c r="L16">
        <f>IFERROR(IF(C16&lt;=VLOOKUP(TRIM($A16),Personnel!$A:$N,14,0),"OK","ΠΟΛΛΑ ΣΚ"),"!")</f>
        <v/>
      </c>
    </row>
    <row r="17">
      <c r="A17" t="inlineStr">
        <is>
          <t>ΚΑΡΑΙΣΚΑΚΗΣ ΓΕΩΡΓΙΟΣ (1ΥΠ)(ΜΟΝΟ ΚΑΘ)</t>
        </is>
      </c>
      <c r="B17">
        <f>SUM(D17:G17)</f>
        <v/>
      </c>
      <c r="C17">
        <f>COUNTIFS(Schedule!$A$4:$A$34,"Σάββατο",Schedule!$C$4:$C$34,$A17)+COUNTIFS(Schedule!$A$4:$A$34,"Σάββατο",Schedule!$D$4:$D$34,$A17)+COUNTIFS(Schedule!$A$4:$A$34,"Σάββατο",Schedule!$E$4:$E$34,$A17)+COUNTIFS(Schedule!$A$4:$A$34,"Σάββατο",Schedule!$F$4:$F$34,$A17)+COUNTIFS(Schedule!$A$4:$A$34,"Σάββατο",Schedule!$G$4:$G$34,$A17)+COUNTIFS(Schedule!$A$4:$A$34,"Σάββατο",Schedule!$H$4:$H$34,$A17)+COUNTIFS(Schedule!$A$4:$A$34,"Σάββατο",Schedule!$I$4:$I$34,$A17)+COUNTIFS(Schedule!$A$4:$A$34,"Σάββατο",Schedule!$J$4:$J$34,$A17)+COUNTIFS(Schedule!$A$4:$A$34,"Σάββατο",Schedule!$K$4:$K$34,$A17)+COUNTIFS(Schedule!$A$4:$A$34,"Κυριακή",Schedule!$C$4:$C$34,$A17)+COUNTIFS(Schedule!$A$4:$A$34,"Κυριακή",Schedule!$D$4:$D$34,$A17)+COUNTIFS(Schedule!$A$4:$A$34,"Κυριακή",Schedule!$E$4:$E$34,$A17)+COUNTIFS(Schedule!$A$4:$A$34,"Κυριακή",Schedule!$F$4:$F$34,$A17)+COUNTIFS(Schedule!$A$4:$A$34,"Κυριακή",Schedule!$G$4:$G$34,$A17)+COUNTIFS(Schedule!$A$4:$A$34,"Κυριακή",Schedule!$H$4:$H$34,$A17)+COUNTIFS(Schedule!$A$4:$A$34,"Κυριακή",Schedule!$I$4:$I$34,$A17)+COUNTIFS(Schedule!$A$4:$A$34,"Κυριακή",Schedule!$J$4:$J$34,$A17)+COUNTIFS(Schedule!$A$4:$A$34,"Κυριακή",Schedule!$K$4:$K$34,$A17)</f>
        <v/>
      </c>
      <c r="D17">
        <f>COUNTIF(Schedule!$C$4:$C$34,$A17)+COUNTIF(Schedule!$D$4:$D$34,$A17)+COUNTIF(Schedule!$E$4:$E$34,$A17)+COUNTIF(Schedule!$F$4:$F$34,$A17)</f>
        <v/>
      </c>
      <c r="E17">
        <f>COUNTIF(Schedule!$G$4:$G$34,$A17)+COUNTIF(Schedule!$H$4:$H$34,$A17)</f>
        <v/>
      </c>
      <c r="F17">
        <f>COUNTIF(Schedule!$I$4:$I$34,$A17)+COUNTIF(Schedule!$J$4:$J$34,$A17)</f>
        <v/>
      </c>
      <c r="G17">
        <f>COUNTIF(Schedule!$K$4:$K$34,$A17)</f>
        <v/>
      </c>
      <c r="H17">
        <f>COUNTIF(Schedule!$L$4:$L$34,$A17)</f>
        <v/>
      </c>
      <c r="I17">
        <f>COUNTIF(Schedule!$M$4:$M$34,$A17)</f>
        <v/>
      </c>
      <c r="J17">
        <f>SUM(H17:I17)</f>
        <v/>
      </c>
      <c r="K17">
        <f>IFERROR(IF(B17&lt;=VLOOKUP(TRIM($A17),Personnel!$A:$N,13,0),"OK","ΥΠΕΡΒΑΣΗ"),"!")</f>
        <v/>
      </c>
      <c r="L17">
        <f>IFERROR(IF(C17&lt;=VLOOKUP(TRIM($A17),Personnel!$A:$N,14,0),"OK","ΠΟΛΛΑ ΣΚ"),"!")</f>
        <v/>
      </c>
    </row>
    <row r="18">
      <c r="A18" t="inlineStr">
        <is>
          <t>ΠΗΓΑΚΗΣ ΝΙΚΟΛΑΟΣ ΜΙΧΑΗΛ (Ι2) (ΤΡΙΤΗ-ΤΕΤΑΡΤΗ)</t>
        </is>
      </c>
      <c r="B18">
        <f>SUM(D18:G18)</f>
        <v/>
      </c>
      <c r="C18">
        <f>COUNTIFS(Schedule!$A$4:$A$34,"Σάββατο",Schedule!$C$4:$C$34,$A18)+COUNTIFS(Schedule!$A$4:$A$34,"Σάββατο",Schedule!$D$4:$D$34,$A18)+COUNTIFS(Schedule!$A$4:$A$34,"Σάββατο",Schedule!$E$4:$E$34,$A18)+COUNTIFS(Schedule!$A$4:$A$34,"Σάββατο",Schedule!$F$4:$F$34,$A18)+COUNTIFS(Schedule!$A$4:$A$34,"Σάββατο",Schedule!$G$4:$G$34,$A18)+COUNTIFS(Schedule!$A$4:$A$34,"Σάββατο",Schedule!$H$4:$H$34,$A18)+COUNTIFS(Schedule!$A$4:$A$34,"Σάββατο",Schedule!$I$4:$I$34,$A18)+COUNTIFS(Schedule!$A$4:$A$34,"Σάββατο",Schedule!$J$4:$J$34,$A18)+COUNTIFS(Schedule!$A$4:$A$34,"Σάββατο",Schedule!$K$4:$K$34,$A18)+COUNTIFS(Schedule!$A$4:$A$34,"Κυριακή",Schedule!$C$4:$C$34,$A18)+COUNTIFS(Schedule!$A$4:$A$34,"Κυριακή",Schedule!$D$4:$D$34,$A18)+COUNTIFS(Schedule!$A$4:$A$34,"Κυριακή",Schedule!$E$4:$E$34,$A18)+COUNTIFS(Schedule!$A$4:$A$34,"Κυριακή",Schedule!$F$4:$F$34,$A18)+COUNTIFS(Schedule!$A$4:$A$34,"Κυριακή",Schedule!$G$4:$G$34,$A18)+COUNTIFS(Schedule!$A$4:$A$34,"Κυριακή",Schedule!$H$4:$H$34,$A18)+COUNTIFS(Schedule!$A$4:$A$34,"Κυριακή",Schedule!$I$4:$I$34,$A18)+COUNTIFS(Schedule!$A$4:$A$34,"Κυριακή",Schedule!$J$4:$J$34,$A18)+COUNTIFS(Schedule!$A$4:$A$34,"Κυριακή",Schedule!$K$4:$K$34,$A18)</f>
        <v/>
      </c>
      <c r="D18">
        <f>COUNTIF(Schedule!$C$4:$C$34,$A18)+COUNTIF(Schedule!$D$4:$D$34,$A18)+COUNTIF(Schedule!$E$4:$E$34,$A18)+COUNTIF(Schedule!$F$4:$F$34,$A18)</f>
        <v/>
      </c>
      <c r="E18">
        <f>COUNTIF(Schedule!$G$4:$G$34,$A18)+COUNTIF(Schedule!$H$4:$H$34,$A18)</f>
        <v/>
      </c>
      <c r="F18">
        <f>COUNTIF(Schedule!$I$4:$I$34,$A18)+COUNTIF(Schedule!$J$4:$J$34,$A18)</f>
        <v/>
      </c>
      <c r="G18">
        <f>COUNTIF(Schedule!$K$4:$K$34,$A18)</f>
        <v/>
      </c>
      <c r="H18">
        <f>COUNTIF(Schedule!$L$4:$L$34,$A18)</f>
        <v/>
      </c>
      <c r="I18">
        <f>COUNTIF(Schedule!$M$4:$M$34,$A18)</f>
        <v/>
      </c>
      <c r="J18">
        <f>SUM(H18:I18)</f>
        <v/>
      </c>
      <c r="K18">
        <f>IFERROR(IF(B18&lt;=VLOOKUP(TRIM($A18),Personnel!$A:$N,13,0),"OK","ΥΠΕΡΒΑΣΗ"),"!")</f>
        <v/>
      </c>
      <c r="L18">
        <f>IFERROR(IF(C18&lt;=VLOOKUP(TRIM($A18),Personnel!$A:$N,14,0),"OK","ΠΟΛΛΑ ΣΚ"),"!")</f>
        <v/>
      </c>
    </row>
    <row r="19">
      <c r="A19" t="inlineStr">
        <is>
          <t>ΕΥΑΓΓΕΛΙΝΟΣ ΜΙΧΑΗΛ</t>
        </is>
      </c>
      <c r="B19">
        <f>SUM(D19:G19)</f>
        <v/>
      </c>
      <c r="C19">
        <f>COUNTIFS(Schedule!$A$4:$A$34,"Σάββατο",Schedule!$C$4:$C$34,$A19)+COUNTIFS(Schedule!$A$4:$A$34,"Σάββατο",Schedule!$D$4:$D$34,$A19)+COUNTIFS(Schedule!$A$4:$A$34,"Σάββατο",Schedule!$E$4:$E$34,$A19)+COUNTIFS(Schedule!$A$4:$A$34,"Σάββατο",Schedule!$F$4:$F$34,$A19)+COUNTIFS(Schedule!$A$4:$A$34,"Σάββατο",Schedule!$G$4:$G$34,$A19)+COUNTIFS(Schedule!$A$4:$A$34,"Σάββατο",Schedule!$H$4:$H$34,$A19)+COUNTIFS(Schedule!$A$4:$A$34,"Σάββατο",Schedule!$I$4:$I$34,$A19)+COUNTIFS(Schedule!$A$4:$A$34,"Σάββατο",Schedule!$J$4:$J$34,$A19)+COUNTIFS(Schedule!$A$4:$A$34,"Σάββατο",Schedule!$K$4:$K$34,$A19)+COUNTIFS(Schedule!$A$4:$A$34,"Κυριακή",Schedule!$C$4:$C$34,$A19)+COUNTIFS(Schedule!$A$4:$A$34,"Κυριακή",Schedule!$D$4:$D$34,$A19)+COUNTIFS(Schedule!$A$4:$A$34,"Κυριακή",Schedule!$E$4:$E$34,$A19)+COUNTIFS(Schedule!$A$4:$A$34,"Κυριακή",Schedule!$F$4:$F$34,$A19)+COUNTIFS(Schedule!$A$4:$A$34,"Κυριακή",Schedule!$G$4:$G$34,$A19)+COUNTIFS(Schedule!$A$4:$A$34,"Κυριακή",Schedule!$H$4:$H$34,$A19)+COUNTIFS(Schedule!$A$4:$A$34,"Κυριακή",Schedule!$I$4:$I$34,$A19)+COUNTIFS(Schedule!$A$4:$A$34,"Κυριακή",Schedule!$J$4:$J$34,$A19)+COUNTIFS(Schedule!$A$4:$A$34,"Κυριακή",Schedule!$K$4:$K$34,$A19)</f>
        <v/>
      </c>
      <c r="D19">
        <f>COUNTIF(Schedule!$C$4:$C$34,$A19)+COUNTIF(Schedule!$D$4:$D$34,$A19)+COUNTIF(Schedule!$E$4:$E$34,$A19)+COUNTIF(Schedule!$F$4:$F$34,$A19)</f>
        <v/>
      </c>
      <c r="E19">
        <f>COUNTIF(Schedule!$G$4:$G$34,$A19)+COUNTIF(Schedule!$H$4:$H$34,$A19)</f>
        <v/>
      </c>
      <c r="F19">
        <f>COUNTIF(Schedule!$I$4:$I$34,$A19)+COUNTIF(Schedule!$J$4:$J$34,$A19)</f>
        <v/>
      </c>
      <c r="G19">
        <f>COUNTIF(Schedule!$K$4:$K$34,$A19)</f>
        <v/>
      </c>
      <c r="H19">
        <f>COUNTIF(Schedule!$L$4:$L$34,$A19)</f>
        <v/>
      </c>
      <c r="I19">
        <f>COUNTIF(Schedule!$M$4:$M$34,$A19)</f>
        <v/>
      </c>
      <c r="J19">
        <f>SUM(H19:I19)</f>
        <v/>
      </c>
      <c r="K19">
        <f>IFERROR(IF(B19&lt;=VLOOKUP(TRIM($A19),Personnel!$A:$N,13,0),"OK","ΥΠΕΡΒΑΣΗ"),"!")</f>
        <v/>
      </c>
      <c r="L19">
        <f>IFERROR(IF(C19&lt;=VLOOKUP(TRIM($A19),Personnel!$A:$N,14,0),"OK","ΠΟΛΛΑ ΣΚ"),"!")</f>
        <v/>
      </c>
    </row>
    <row r="20">
      <c r="A20" t="inlineStr">
        <is>
          <t>ΠΑΝΟΥΣΗΣ ΚΩΝΣΤΑΝΤΙΝΟΣ</t>
        </is>
      </c>
      <c r="B20">
        <f>SUM(D20:G20)</f>
        <v/>
      </c>
      <c r="C20">
        <f>COUNTIFS(Schedule!$A$4:$A$34,"Σάββατο",Schedule!$C$4:$C$34,$A20)+COUNTIFS(Schedule!$A$4:$A$34,"Σάββατο",Schedule!$D$4:$D$34,$A20)+COUNTIFS(Schedule!$A$4:$A$34,"Σάββατο",Schedule!$E$4:$E$34,$A20)+COUNTIFS(Schedule!$A$4:$A$34,"Σάββατο",Schedule!$F$4:$F$34,$A20)+COUNTIFS(Schedule!$A$4:$A$34,"Σάββατο",Schedule!$G$4:$G$34,$A20)+COUNTIFS(Schedule!$A$4:$A$34,"Σάββατο",Schedule!$H$4:$H$34,$A20)+COUNTIFS(Schedule!$A$4:$A$34,"Σάββατο",Schedule!$I$4:$I$34,$A20)+COUNTIFS(Schedule!$A$4:$A$34,"Σάββατο",Schedule!$J$4:$J$34,$A20)+COUNTIFS(Schedule!$A$4:$A$34,"Σάββατο",Schedule!$K$4:$K$34,$A20)+COUNTIFS(Schedule!$A$4:$A$34,"Κυριακή",Schedule!$C$4:$C$34,$A20)+COUNTIFS(Schedule!$A$4:$A$34,"Κυριακή",Schedule!$D$4:$D$34,$A20)+COUNTIFS(Schedule!$A$4:$A$34,"Κυριακή",Schedule!$E$4:$E$34,$A20)+COUNTIFS(Schedule!$A$4:$A$34,"Κυριακή",Schedule!$F$4:$F$34,$A20)+COUNTIFS(Schedule!$A$4:$A$34,"Κυριακή",Schedule!$G$4:$G$34,$A20)+COUNTIFS(Schedule!$A$4:$A$34,"Κυριακή",Schedule!$H$4:$H$34,$A20)+COUNTIFS(Schedule!$A$4:$A$34,"Κυριακή",Schedule!$I$4:$I$34,$A20)+COUNTIFS(Schedule!$A$4:$A$34,"Κυριακή",Schedule!$J$4:$J$34,$A20)+COUNTIFS(Schedule!$A$4:$A$34,"Κυριακή",Schedule!$K$4:$K$34,$A20)</f>
        <v/>
      </c>
      <c r="D20">
        <f>COUNTIF(Schedule!$C$4:$C$34,$A20)+COUNTIF(Schedule!$D$4:$D$34,$A20)+COUNTIF(Schedule!$E$4:$E$34,$A20)+COUNTIF(Schedule!$F$4:$F$34,$A20)</f>
        <v/>
      </c>
      <c r="E20">
        <f>COUNTIF(Schedule!$G$4:$G$34,$A20)+COUNTIF(Schedule!$H$4:$H$34,$A20)</f>
        <v/>
      </c>
      <c r="F20">
        <f>COUNTIF(Schedule!$I$4:$I$34,$A20)+COUNTIF(Schedule!$J$4:$J$34,$A20)</f>
        <v/>
      </c>
      <c r="G20">
        <f>COUNTIF(Schedule!$K$4:$K$34,$A20)</f>
        <v/>
      </c>
      <c r="H20">
        <f>COUNTIF(Schedule!$L$4:$L$34,$A20)</f>
        <v/>
      </c>
      <c r="I20">
        <f>COUNTIF(Schedule!$M$4:$M$34,$A20)</f>
        <v/>
      </c>
      <c r="J20">
        <f>SUM(H20:I20)</f>
        <v/>
      </c>
      <c r="K20">
        <f>IFERROR(IF(B20&lt;=VLOOKUP(TRIM($A20),Personnel!$A:$N,13,0),"OK","ΥΠΕΡΒΑΣΗ"),"!")</f>
        <v/>
      </c>
      <c r="L20">
        <f>IFERROR(IF(C20&lt;=VLOOKUP(TRIM($A20),Personnel!$A:$N,14,0),"OK","ΠΟΛΛΑ ΣΚ"),"!")</f>
        <v/>
      </c>
    </row>
    <row r="21">
      <c r="A21" t="inlineStr">
        <is>
          <t>ΛΑΓΙΟΣ ΑΘΑΝΑΣΙΟΣ (ΑΝΑΡΩΤΙΚΗ 19/3)</t>
        </is>
      </c>
      <c r="B21">
        <f>SUM(D21:G21)</f>
        <v/>
      </c>
      <c r="C21">
        <f>COUNTIFS(Schedule!$A$4:$A$34,"Σάββατο",Schedule!$C$4:$C$34,$A21)+COUNTIFS(Schedule!$A$4:$A$34,"Σάββατο",Schedule!$D$4:$D$34,$A21)+COUNTIFS(Schedule!$A$4:$A$34,"Σάββατο",Schedule!$E$4:$E$34,$A21)+COUNTIFS(Schedule!$A$4:$A$34,"Σάββατο",Schedule!$F$4:$F$34,$A21)+COUNTIFS(Schedule!$A$4:$A$34,"Σάββατο",Schedule!$G$4:$G$34,$A21)+COUNTIFS(Schedule!$A$4:$A$34,"Σάββατο",Schedule!$H$4:$H$34,$A21)+COUNTIFS(Schedule!$A$4:$A$34,"Σάββατο",Schedule!$I$4:$I$34,$A21)+COUNTIFS(Schedule!$A$4:$A$34,"Σάββατο",Schedule!$J$4:$J$34,$A21)+COUNTIFS(Schedule!$A$4:$A$34,"Σάββατο",Schedule!$K$4:$K$34,$A21)+COUNTIFS(Schedule!$A$4:$A$34,"Κυριακή",Schedule!$C$4:$C$34,$A21)+COUNTIFS(Schedule!$A$4:$A$34,"Κυριακή",Schedule!$D$4:$D$34,$A21)+COUNTIFS(Schedule!$A$4:$A$34,"Κυριακή",Schedule!$E$4:$E$34,$A21)+COUNTIFS(Schedule!$A$4:$A$34,"Κυριακή",Schedule!$F$4:$F$34,$A21)+COUNTIFS(Schedule!$A$4:$A$34,"Κυριακή",Schedule!$G$4:$G$34,$A21)+COUNTIFS(Schedule!$A$4:$A$34,"Κυριακή",Schedule!$H$4:$H$34,$A21)+COUNTIFS(Schedule!$A$4:$A$34,"Κυριακή",Schedule!$I$4:$I$34,$A21)+COUNTIFS(Schedule!$A$4:$A$34,"Κυριακή",Schedule!$J$4:$J$34,$A21)+COUNTIFS(Schedule!$A$4:$A$34,"Κυριακή",Schedule!$K$4:$K$34,$A21)</f>
        <v/>
      </c>
      <c r="D21">
        <f>COUNTIF(Schedule!$C$4:$C$34,$A21)+COUNTIF(Schedule!$D$4:$D$34,$A21)+COUNTIF(Schedule!$E$4:$E$34,$A21)+COUNTIF(Schedule!$F$4:$F$34,$A21)</f>
        <v/>
      </c>
      <c r="E21">
        <f>COUNTIF(Schedule!$G$4:$G$34,$A21)+COUNTIF(Schedule!$H$4:$H$34,$A21)</f>
        <v/>
      </c>
      <c r="F21">
        <f>COUNTIF(Schedule!$I$4:$I$34,$A21)+COUNTIF(Schedule!$J$4:$J$34,$A21)</f>
        <v/>
      </c>
      <c r="G21">
        <f>COUNTIF(Schedule!$K$4:$K$34,$A21)</f>
        <v/>
      </c>
      <c r="H21">
        <f>COUNTIF(Schedule!$L$4:$L$34,$A21)</f>
        <v/>
      </c>
      <c r="I21">
        <f>COUNTIF(Schedule!$M$4:$M$34,$A21)</f>
        <v/>
      </c>
      <c r="J21">
        <f>SUM(H21:I21)</f>
        <v/>
      </c>
      <c r="K21">
        <f>IFERROR(IF(B21&lt;=VLOOKUP(TRIM($A21),Personnel!$A:$N,13,0),"OK","ΥΠΕΡΒΑΣΗ"),"!")</f>
        <v/>
      </c>
      <c r="L21">
        <f>IFERROR(IF(C21&lt;=VLOOKUP(TRIM($A21),Personnel!$A:$N,14,0),"OK","ΠΟΛΛΑ ΣΚ"),"!")</f>
        <v/>
      </c>
    </row>
    <row r="22">
      <c r="A22" t="inlineStr">
        <is>
          <t>ΑΛΕΞΑΝΔΡΑΚΗΣ ΠΑΝΑΓΙΩΤΗΣ</t>
        </is>
      </c>
      <c r="B22">
        <f>SUM(D22:G22)</f>
        <v/>
      </c>
      <c r="C22">
        <f>COUNTIFS(Schedule!$A$4:$A$34,"Σάββατο",Schedule!$C$4:$C$34,$A22)+COUNTIFS(Schedule!$A$4:$A$34,"Σάββατο",Schedule!$D$4:$D$34,$A22)+COUNTIFS(Schedule!$A$4:$A$34,"Σάββατο",Schedule!$E$4:$E$34,$A22)+COUNTIFS(Schedule!$A$4:$A$34,"Σάββατο",Schedule!$F$4:$F$34,$A22)+COUNTIFS(Schedule!$A$4:$A$34,"Σάββατο",Schedule!$G$4:$G$34,$A22)+COUNTIFS(Schedule!$A$4:$A$34,"Σάββατο",Schedule!$H$4:$H$34,$A22)+COUNTIFS(Schedule!$A$4:$A$34,"Σάββατο",Schedule!$I$4:$I$34,$A22)+COUNTIFS(Schedule!$A$4:$A$34,"Σάββατο",Schedule!$J$4:$J$34,$A22)+COUNTIFS(Schedule!$A$4:$A$34,"Σάββατο",Schedule!$K$4:$K$34,$A22)+COUNTIFS(Schedule!$A$4:$A$34,"Κυριακή",Schedule!$C$4:$C$34,$A22)+COUNTIFS(Schedule!$A$4:$A$34,"Κυριακή",Schedule!$D$4:$D$34,$A22)+COUNTIFS(Schedule!$A$4:$A$34,"Κυριακή",Schedule!$E$4:$E$34,$A22)+COUNTIFS(Schedule!$A$4:$A$34,"Κυριακή",Schedule!$F$4:$F$34,$A22)+COUNTIFS(Schedule!$A$4:$A$34,"Κυριακή",Schedule!$G$4:$G$34,$A22)+COUNTIFS(Schedule!$A$4:$A$34,"Κυριακή",Schedule!$H$4:$H$34,$A22)+COUNTIFS(Schedule!$A$4:$A$34,"Κυριακή",Schedule!$I$4:$I$34,$A22)+COUNTIFS(Schedule!$A$4:$A$34,"Κυριακή",Schedule!$J$4:$J$34,$A22)+COUNTIFS(Schedule!$A$4:$A$34,"Κυριακή",Schedule!$K$4:$K$34,$A22)</f>
        <v/>
      </c>
      <c r="D22">
        <f>COUNTIF(Schedule!$C$4:$C$34,$A22)+COUNTIF(Schedule!$D$4:$D$34,$A22)+COUNTIF(Schedule!$E$4:$E$34,$A22)+COUNTIF(Schedule!$F$4:$F$34,$A22)</f>
        <v/>
      </c>
      <c r="E22">
        <f>COUNTIF(Schedule!$G$4:$G$34,$A22)+COUNTIF(Schedule!$H$4:$H$34,$A22)</f>
        <v/>
      </c>
      <c r="F22">
        <f>COUNTIF(Schedule!$I$4:$I$34,$A22)+COUNTIF(Schedule!$J$4:$J$34,$A22)</f>
        <v/>
      </c>
      <c r="G22">
        <f>COUNTIF(Schedule!$K$4:$K$34,$A22)</f>
        <v/>
      </c>
      <c r="H22">
        <f>COUNTIF(Schedule!$L$4:$L$34,$A22)</f>
        <v/>
      </c>
      <c r="I22">
        <f>COUNTIF(Schedule!$M$4:$M$34,$A22)</f>
        <v/>
      </c>
      <c r="J22">
        <f>SUM(H22:I22)</f>
        <v/>
      </c>
      <c r="K22">
        <f>IFERROR(IF(B22&lt;=VLOOKUP(TRIM($A22),Personnel!$A:$N,13,0),"OK","ΥΠΕΡΒΑΣΗ"),"!")</f>
        <v/>
      </c>
      <c r="L22">
        <f>IFERROR(IF(C22&lt;=VLOOKUP(TRIM($A22),Personnel!$A:$N,14,0),"OK","ΠΟΛΛΑ ΣΚ"),"!")</f>
        <v/>
      </c>
    </row>
    <row r="23">
      <c r="A23" t="inlineStr">
        <is>
          <t>ΒΑΚΑΛΗΣ ΑΝΤΩΝΙΟΣ</t>
        </is>
      </c>
      <c r="B23">
        <f>SUM(D23:G23)</f>
        <v/>
      </c>
      <c r="C23">
        <f>COUNTIFS(Schedule!$A$4:$A$34,"Σάββατο",Schedule!$C$4:$C$34,$A23)+COUNTIFS(Schedule!$A$4:$A$34,"Σάββατο",Schedule!$D$4:$D$34,$A23)+COUNTIFS(Schedule!$A$4:$A$34,"Σάββατο",Schedule!$E$4:$E$34,$A23)+COUNTIFS(Schedule!$A$4:$A$34,"Σάββατο",Schedule!$F$4:$F$34,$A23)+COUNTIFS(Schedule!$A$4:$A$34,"Σάββατο",Schedule!$G$4:$G$34,$A23)+COUNTIFS(Schedule!$A$4:$A$34,"Σάββατο",Schedule!$H$4:$H$34,$A23)+COUNTIFS(Schedule!$A$4:$A$34,"Σάββατο",Schedule!$I$4:$I$34,$A23)+COUNTIFS(Schedule!$A$4:$A$34,"Σάββατο",Schedule!$J$4:$J$34,$A23)+COUNTIFS(Schedule!$A$4:$A$34,"Σάββατο",Schedule!$K$4:$K$34,$A23)+COUNTIFS(Schedule!$A$4:$A$34,"Κυριακή",Schedule!$C$4:$C$34,$A23)+COUNTIFS(Schedule!$A$4:$A$34,"Κυριακή",Schedule!$D$4:$D$34,$A23)+COUNTIFS(Schedule!$A$4:$A$34,"Κυριακή",Schedule!$E$4:$E$34,$A23)+COUNTIFS(Schedule!$A$4:$A$34,"Κυριακή",Schedule!$F$4:$F$34,$A23)+COUNTIFS(Schedule!$A$4:$A$34,"Κυριακή",Schedule!$G$4:$G$34,$A23)+COUNTIFS(Schedule!$A$4:$A$34,"Κυριακή",Schedule!$H$4:$H$34,$A23)+COUNTIFS(Schedule!$A$4:$A$34,"Κυριακή",Schedule!$I$4:$I$34,$A23)+COUNTIFS(Schedule!$A$4:$A$34,"Κυριακή",Schedule!$J$4:$J$34,$A23)+COUNTIFS(Schedule!$A$4:$A$34,"Κυριακή",Schedule!$K$4:$K$34,$A23)</f>
        <v/>
      </c>
      <c r="D23">
        <f>COUNTIF(Schedule!$C$4:$C$34,$A23)+COUNTIF(Schedule!$D$4:$D$34,$A23)+COUNTIF(Schedule!$E$4:$E$34,$A23)+COUNTIF(Schedule!$F$4:$F$34,$A23)</f>
        <v/>
      </c>
      <c r="E23">
        <f>COUNTIF(Schedule!$G$4:$G$34,$A23)+COUNTIF(Schedule!$H$4:$H$34,$A23)</f>
        <v/>
      </c>
      <c r="F23">
        <f>COUNTIF(Schedule!$I$4:$I$34,$A23)+COUNTIF(Schedule!$J$4:$J$34,$A23)</f>
        <v/>
      </c>
      <c r="G23">
        <f>COUNTIF(Schedule!$K$4:$K$34,$A23)</f>
        <v/>
      </c>
      <c r="H23">
        <f>COUNTIF(Schedule!$L$4:$L$34,$A23)</f>
        <v/>
      </c>
      <c r="I23">
        <f>COUNTIF(Schedule!$M$4:$M$34,$A23)</f>
        <v/>
      </c>
      <c r="J23">
        <f>SUM(H23:I23)</f>
        <v/>
      </c>
      <c r="K23">
        <f>IFERROR(IF(B23&lt;=VLOOKUP(TRIM($A23),Personnel!$A:$N,13,0),"OK","ΥΠΕΡΒΑΣΗ"),"!")</f>
        <v/>
      </c>
      <c r="L23">
        <f>IFERROR(IF(C23&lt;=VLOOKUP(TRIM($A23),Personnel!$A:$N,14,0),"OK","ΠΟΛΛΑ ΣΚ"),"!")</f>
        <v/>
      </c>
    </row>
    <row r="24">
      <c r="A24" t="inlineStr">
        <is>
          <t>ΣΤΡΑΤΟΣ ΒΑΣΙΛΕΙΟΣ</t>
        </is>
      </c>
      <c r="B24">
        <f>SUM(D24:G24)</f>
        <v/>
      </c>
      <c r="C24">
        <f>COUNTIFS(Schedule!$A$4:$A$34,"Σάββατο",Schedule!$C$4:$C$34,$A24)+COUNTIFS(Schedule!$A$4:$A$34,"Σάββατο",Schedule!$D$4:$D$34,$A24)+COUNTIFS(Schedule!$A$4:$A$34,"Σάββατο",Schedule!$E$4:$E$34,$A24)+COUNTIFS(Schedule!$A$4:$A$34,"Σάββατο",Schedule!$F$4:$F$34,$A24)+COUNTIFS(Schedule!$A$4:$A$34,"Σάββατο",Schedule!$G$4:$G$34,$A24)+COUNTIFS(Schedule!$A$4:$A$34,"Σάββατο",Schedule!$H$4:$H$34,$A24)+COUNTIFS(Schedule!$A$4:$A$34,"Σάββατο",Schedule!$I$4:$I$34,$A24)+COUNTIFS(Schedule!$A$4:$A$34,"Σάββατο",Schedule!$J$4:$J$34,$A24)+COUNTIFS(Schedule!$A$4:$A$34,"Σάββατο",Schedule!$K$4:$K$34,$A24)+COUNTIFS(Schedule!$A$4:$A$34,"Κυριακή",Schedule!$C$4:$C$34,$A24)+COUNTIFS(Schedule!$A$4:$A$34,"Κυριακή",Schedule!$D$4:$D$34,$A24)+COUNTIFS(Schedule!$A$4:$A$34,"Κυριακή",Schedule!$E$4:$E$34,$A24)+COUNTIFS(Schedule!$A$4:$A$34,"Κυριακή",Schedule!$F$4:$F$34,$A24)+COUNTIFS(Schedule!$A$4:$A$34,"Κυριακή",Schedule!$G$4:$G$34,$A24)+COUNTIFS(Schedule!$A$4:$A$34,"Κυριακή",Schedule!$H$4:$H$34,$A24)+COUNTIFS(Schedule!$A$4:$A$34,"Κυριακή",Schedule!$I$4:$I$34,$A24)+COUNTIFS(Schedule!$A$4:$A$34,"Κυριακή",Schedule!$J$4:$J$34,$A24)+COUNTIFS(Schedule!$A$4:$A$34,"Κυριακή",Schedule!$K$4:$K$34,$A24)</f>
        <v/>
      </c>
      <c r="D24">
        <f>COUNTIF(Schedule!$C$4:$C$34,$A24)+COUNTIF(Schedule!$D$4:$D$34,$A24)+COUNTIF(Schedule!$E$4:$E$34,$A24)+COUNTIF(Schedule!$F$4:$F$34,$A24)</f>
        <v/>
      </c>
      <c r="E24">
        <f>COUNTIF(Schedule!$G$4:$G$34,$A24)+COUNTIF(Schedule!$H$4:$H$34,$A24)</f>
        <v/>
      </c>
      <c r="F24">
        <f>COUNTIF(Schedule!$I$4:$I$34,$A24)+COUNTIF(Schedule!$J$4:$J$34,$A24)</f>
        <v/>
      </c>
      <c r="G24">
        <f>COUNTIF(Schedule!$K$4:$K$34,$A24)</f>
        <v/>
      </c>
      <c r="H24">
        <f>COUNTIF(Schedule!$L$4:$L$34,$A24)</f>
        <v/>
      </c>
      <c r="I24">
        <f>COUNTIF(Schedule!$M$4:$M$34,$A24)</f>
        <v/>
      </c>
      <c r="J24">
        <f>SUM(H24:I24)</f>
        <v/>
      </c>
      <c r="K24">
        <f>IFERROR(IF(B24&lt;=VLOOKUP(TRIM($A24),Personnel!$A:$N,13,0),"OK","ΥΠΕΡΒΑΣΗ"),"!")</f>
        <v/>
      </c>
      <c r="L24">
        <f>IFERROR(IF(C24&lt;=VLOOKUP(TRIM($A24),Personnel!$A:$N,14,0),"OK","ΠΟΛΛΑ ΣΚ"),"!")</f>
        <v/>
      </c>
    </row>
    <row r="25">
      <c r="A25" t="inlineStr">
        <is>
          <t>ΚΑΡΑΣΑΒΒΑΣ ΠΑΝΤΕΛΕΗΜΩΝ</t>
        </is>
      </c>
      <c r="B25">
        <f>SUM(D25:G25)</f>
        <v/>
      </c>
      <c r="C25">
        <f>COUNTIFS(Schedule!$A$4:$A$34,"Σάββατο",Schedule!$C$4:$C$34,$A25)+COUNTIFS(Schedule!$A$4:$A$34,"Σάββατο",Schedule!$D$4:$D$34,$A25)+COUNTIFS(Schedule!$A$4:$A$34,"Σάββατο",Schedule!$E$4:$E$34,$A25)+COUNTIFS(Schedule!$A$4:$A$34,"Σάββατο",Schedule!$F$4:$F$34,$A25)+COUNTIFS(Schedule!$A$4:$A$34,"Σάββατο",Schedule!$G$4:$G$34,$A25)+COUNTIFS(Schedule!$A$4:$A$34,"Σάββατο",Schedule!$H$4:$H$34,$A25)+COUNTIFS(Schedule!$A$4:$A$34,"Σάββατο",Schedule!$I$4:$I$34,$A25)+COUNTIFS(Schedule!$A$4:$A$34,"Σάββατο",Schedule!$J$4:$J$34,$A25)+COUNTIFS(Schedule!$A$4:$A$34,"Σάββατο",Schedule!$K$4:$K$34,$A25)+COUNTIFS(Schedule!$A$4:$A$34,"Κυριακή",Schedule!$C$4:$C$34,$A25)+COUNTIFS(Schedule!$A$4:$A$34,"Κυριακή",Schedule!$D$4:$D$34,$A25)+COUNTIFS(Schedule!$A$4:$A$34,"Κυριακή",Schedule!$E$4:$E$34,$A25)+COUNTIFS(Schedule!$A$4:$A$34,"Κυριακή",Schedule!$F$4:$F$34,$A25)+COUNTIFS(Schedule!$A$4:$A$34,"Κυριακή",Schedule!$G$4:$G$34,$A25)+COUNTIFS(Schedule!$A$4:$A$34,"Κυριακή",Schedule!$H$4:$H$34,$A25)+COUNTIFS(Schedule!$A$4:$A$34,"Κυριακή",Schedule!$I$4:$I$34,$A25)+COUNTIFS(Schedule!$A$4:$A$34,"Κυριακή",Schedule!$J$4:$J$34,$A25)+COUNTIFS(Schedule!$A$4:$A$34,"Κυριακή",Schedule!$K$4:$K$34,$A25)</f>
        <v/>
      </c>
      <c r="D25">
        <f>COUNTIF(Schedule!$C$4:$C$34,$A25)+COUNTIF(Schedule!$D$4:$D$34,$A25)+COUNTIF(Schedule!$E$4:$E$34,$A25)+COUNTIF(Schedule!$F$4:$F$34,$A25)</f>
        <v/>
      </c>
      <c r="E25">
        <f>COUNTIF(Schedule!$G$4:$G$34,$A25)+COUNTIF(Schedule!$H$4:$H$34,$A25)</f>
        <v/>
      </c>
      <c r="F25">
        <f>COUNTIF(Schedule!$I$4:$I$34,$A25)+COUNTIF(Schedule!$J$4:$J$34,$A25)</f>
        <v/>
      </c>
      <c r="G25">
        <f>COUNTIF(Schedule!$K$4:$K$34,$A25)</f>
        <v/>
      </c>
      <c r="H25">
        <f>COUNTIF(Schedule!$L$4:$L$34,$A25)</f>
        <v/>
      </c>
      <c r="I25">
        <f>COUNTIF(Schedule!$M$4:$M$34,$A25)</f>
        <v/>
      </c>
      <c r="J25">
        <f>SUM(H25:I25)</f>
        <v/>
      </c>
      <c r="K25">
        <f>IFERROR(IF(B25&lt;=VLOOKUP(TRIM($A25),Personnel!$A:$N,13,0),"OK","ΥΠΕΡΒΑΣΗ"),"!")</f>
        <v/>
      </c>
      <c r="L25">
        <f>IFERROR(IF(C25&lt;=VLOOKUP(TRIM($A25),Personnel!$A:$N,14,0),"OK","ΠΟΛΛΑ ΣΚ"),"!")</f>
        <v/>
      </c>
    </row>
    <row r="26">
      <c r="A26" t="inlineStr">
        <is>
          <t>ΑΓΓΕΛΟΓΙΑΝΝΟΠΟΥΛΟΣ ΜΑΡΙΟΣ</t>
        </is>
      </c>
      <c r="B26">
        <f>SUM(D26:G26)</f>
        <v/>
      </c>
      <c r="C26">
        <f>COUNTIFS(Schedule!$A$4:$A$34,"Σάββατο",Schedule!$C$4:$C$34,$A26)+COUNTIFS(Schedule!$A$4:$A$34,"Σάββατο",Schedule!$D$4:$D$34,$A26)+COUNTIFS(Schedule!$A$4:$A$34,"Σάββατο",Schedule!$E$4:$E$34,$A26)+COUNTIFS(Schedule!$A$4:$A$34,"Σάββατο",Schedule!$F$4:$F$34,$A26)+COUNTIFS(Schedule!$A$4:$A$34,"Σάββατο",Schedule!$G$4:$G$34,$A26)+COUNTIFS(Schedule!$A$4:$A$34,"Σάββατο",Schedule!$H$4:$H$34,$A26)+COUNTIFS(Schedule!$A$4:$A$34,"Σάββατο",Schedule!$I$4:$I$34,$A26)+COUNTIFS(Schedule!$A$4:$A$34,"Σάββατο",Schedule!$J$4:$J$34,$A26)+COUNTIFS(Schedule!$A$4:$A$34,"Σάββατο",Schedule!$K$4:$K$34,$A26)+COUNTIFS(Schedule!$A$4:$A$34,"Κυριακή",Schedule!$C$4:$C$34,$A26)+COUNTIFS(Schedule!$A$4:$A$34,"Κυριακή",Schedule!$D$4:$D$34,$A26)+COUNTIFS(Schedule!$A$4:$A$34,"Κυριακή",Schedule!$E$4:$E$34,$A26)+COUNTIFS(Schedule!$A$4:$A$34,"Κυριακή",Schedule!$F$4:$F$34,$A26)+COUNTIFS(Schedule!$A$4:$A$34,"Κυριακή",Schedule!$G$4:$G$34,$A26)+COUNTIFS(Schedule!$A$4:$A$34,"Κυριακή",Schedule!$H$4:$H$34,$A26)+COUNTIFS(Schedule!$A$4:$A$34,"Κυριακή",Schedule!$I$4:$I$34,$A26)+COUNTIFS(Schedule!$A$4:$A$34,"Κυριακή",Schedule!$J$4:$J$34,$A26)+COUNTIFS(Schedule!$A$4:$A$34,"Κυριακή",Schedule!$K$4:$K$34,$A26)</f>
        <v/>
      </c>
      <c r="D26">
        <f>COUNTIF(Schedule!$C$4:$C$34,$A26)+COUNTIF(Schedule!$D$4:$D$34,$A26)+COUNTIF(Schedule!$E$4:$E$34,$A26)+COUNTIF(Schedule!$F$4:$F$34,$A26)</f>
        <v/>
      </c>
      <c r="E26">
        <f>COUNTIF(Schedule!$G$4:$G$34,$A26)+COUNTIF(Schedule!$H$4:$H$34,$A26)</f>
        <v/>
      </c>
      <c r="F26">
        <f>COUNTIF(Schedule!$I$4:$I$34,$A26)+COUNTIF(Schedule!$J$4:$J$34,$A26)</f>
        <v/>
      </c>
      <c r="G26">
        <f>COUNTIF(Schedule!$K$4:$K$34,$A26)</f>
        <v/>
      </c>
      <c r="H26">
        <f>COUNTIF(Schedule!$L$4:$L$34,$A26)</f>
        <v/>
      </c>
      <c r="I26">
        <f>COUNTIF(Schedule!$M$4:$M$34,$A26)</f>
        <v/>
      </c>
      <c r="J26">
        <f>SUM(H26:I26)</f>
        <v/>
      </c>
      <c r="K26">
        <f>IFERROR(IF(B26&lt;=VLOOKUP(TRIM($A26),Personnel!$A:$N,13,0),"OK","ΥΠΕΡΒΑΣΗ"),"!")</f>
        <v/>
      </c>
      <c r="L26">
        <f>IFERROR(IF(C26&lt;=VLOOKUP(TRIM($A26),Personnel!$A:$N,14,0),"OK","ΠΟΛΛΑ ΣΚ"),"!")</f>
        <v/>
      </c>
    </row>
    <row r="27">
      <c r="A27" t="inlineStr">
        <is>
          <t>ΑΒΡΑΜΗΛΑΣ ΓΕΩΡΓΙΟΣ Π. (ΟΧΙ ΜΛΣΝ)</t>
        </is>
      </c>
      <c r="B27">
        <f>SUM(D27:G27)</f>
        <v/>
      </c>
      <c r="C27">
        <f>COUNTIFS(Schedule!$A$4:$A$34,"Σάββατο",Schedule!$C$4:$C$34,$A27)+COUNTIFS(Schedule!$A$4:$A$34,"Σάββατο",Schedule!$D$4:$D$34,$A27)+COUNTIFS(Schedule!$A$4:$A$34,"Σάββατο",Schedule!$E$4:$E$34,$A27)+COUNTIFS(Schedule!$A$4:$A$34,"Σάββατο",Schedule!$F$4:$F$34,$A27)+COUNTIFS(Schedule!$A$4:$A$34,"Σάββατο",Schedule!$G$4:$G$34,$A27)+COUNTIFS(Schedule!$A$4:$A$34,"Σάββατο",Schedule!$H$4:$H$34,$A27)+COUNTIFS(Schedule!$A$4:$A$34,"Σάββατο",Schedule!$I$4:$I$34,$A27)+COUNTIFS(Schedule!$A$4:$A$34,"Σάββατο",Schedule!$J$4:$J$34,$A27)+COUNTIFS(Schedule!$A$4:$A$34,"Σάββατο",Schedule!$K$4:$K$34,$A27)+COUNTIFS(Schedule!$A$4:$A$34,"Κυριακή",Schedule!$C$4:$C$34,$A27)+COUNTIFS(Schedule!$A$4:$A$34,"Κυριακή",Schedule!$D$4:$D$34,$A27)+COUNTIFS(Schedule!$A$4:$A$34,"Κυριακή",Schedule!$E$4:$E$34,$A27)+COUNTIFS(Schedule!$A$4:$A$34,"Κυριακή",Schedule!$F$4:$F$34,$A27)+COUNTIFS(Schedule!$A$4:$A$34,"Κυριακή",Schedule!$G$4:$G$34,$A27)+COUNTIFS(Schedule!$A$4:$A$34,"Κυριακή",Schedule!$H$4:$H$34,$A27)+COUNTIFS(Schedule!$A$4:$A$34,"Κυριακή",Schedule!$I$4:$I$34,$A27)+COUNTIFS(Schedule!$A$4:$A$34,"Κυριακή",Schedule!$J$4:$J$34,$A27)+COUNTIFS(Schedule!$A$4:$A$34,"Κυριακή",Schedule!$K$4:$K$34,$A27)</f>
        <v/>
      </c>
      <c r="D27">
        <f>COUNTIF(Schedule!$C$4:$C$34,$A27)+COUNTIF(Schedule!$D$4:$D$34,$A27)+COUNTIF(Schedule!$E$4:$E$34,$A27)+COUNTIF(Schedule!$F$4:$F$34,$A27)</f>
        <v/>
      </c>
      <c r="E27">
        <f>COUNTIF(Schedule!$G$4:$G$34,$A27)+COUNTIF(Schedule!$H$4:$H$34,$A27)</f>
        <v/>
      </c>
      <c r="F27">
        <f>COUNTIF(Schedule!$I$4:$I$34,$A27)+COUNTIF(Schedule!$J$4:$J$34,$A27)</f>
        <v/>
      </c>
      <c r="G27">
        <f>COUNTIF(Schedule!$K$4:$K$34,$A27)</f>
        <v/>
      </c>
      <c r="H27">
        <f>COUNTIF(Schedule!$L$4:$L$34,$A27)</f>
        <v/>
      </c>
      <c r="I27">
        <f>COUNTIF(Schedule!$M$4:$M$34,$A27)</f>
        <v/>
      </c>
      <c r="J27">
        <f>SUM(H27:I27)</f>
        <v/>
      </c>
      <c r="K27">
        <f>IFERROR(IF(B27&lt;=VLOOKUP(TRIM($A27),Personnel!$A:$N,13,0),"OK","ΥΠΕΡΒΑΣΗ"),"!")</f>
        <v/>
      </c>
      <c r="L27">
        <f>IFERROR(IF(C27&lt;=VLOOKUP(TRIM($A27),Personnel!$A:$N,14,0),"OK","ΠΟΛΛΑ ΣΚ"),"!")</f>
        <v/>
      </c>
    </row>
    <row r="28">
      <c r="A28" t="inlineStr">
        <is>
          <t>ΚΩΣΤΟΓΙΑΝΝΗΣ ΓΕΩΡΓΙΟΣ</t>
        </is>
      </c>
      <c r="B28">
        <f>SUM(D28:G28)</f>
        <v/>
      </c>
      <c r="C28">
        <f>COUNTIFS(Schedule!$A$4:$A$34,"Σάββατο",Schedule!$C$4:$C$34,$A28)+COUNTIFS(Schedule!$A$4:$A$34,"Σάββατο",Schedule!$D$4:$D$34,$A28)+COUNTIFS(Schedule!$A$4:$A$34,"Σάββατο",Schedule!$E$4:$E$34,$A28)+COUNTIFS(Schedule!$A$4:$A$34,"Σάββατο",Schedule!$F$4:$F$34,$A28)+COUNTIFS(Schedule!$A$4:$A$34,"Σάββατο",Schedule!$G$4:$G$34,$A28)+COUNTIFS(Schedule!$A$4:$A$34,"Σάββατο",Schedule!$H$4:$H$34,$A28)+COUNTIFS(Schedule!$A$4:$A$34,"Σάββατο",Schedule!$I$4:$I$34,$A28)+COUNTIFS(Schedule!$A$4:$A$34,"Σάββατο",Schedule!$J$4:$J$34,$A28)+COUNTIFS(Schedule!$A$4:$A$34,"Σάββατο",Schedule!$K$4:$K$34,$A28)+COUNTIFS(Schedule!$A$4:$A$34,"Κυριακή",Schedule!$C$4:$C$34,$A28)+COUNTIFS(Schedule!$A$4:$A$34,"Κυριακή",Schedule!$D$4:$D$34,$A28)+COUNTIFS(Schedule!$A$4:$A$34,"Κυριακή",Schedule!$E$4:$E$34,$A28)+COUNTIFS(Schedule!$A$4:$A$34,"Κυριακή",Schedule!$F$4:$F$34,$A28)+COUNTIFS(Schedule!$A$4:$A$34,"Κυριακή",Schedule!$G$4:$G$34,$A28)+COUNTIFS(Schedule!$A$4:$A$34,"Κυριακή",Schedule!$H$4:$H$34,$A28)+COUNTIFS(Schedule!$A$4:$A$34,"Κυριακή",Schedule!$I$4:$I$34,$A28)+COUNTIFS(Schedule!$A$4:$A$34,"Κυριακή",Schedule!$J$4:$J$34,$A28)+COUNTIFS(Schedule!$A$4:$A$34,"Κυριακή",Schedule!$K$4:$K$34,$A28)</f>
        <v/>
      </c>
      <c r="D28">
        <f>COUNTIF(Schedule!$C$4:$C$34,$A28)+COUNTIF(Schedule!$D$4:$D$34,$A28)+COUNTIF(Schedule!$E$4:$E$34,$A28)+COUNTIF(Schedule!$F$4:$F$34,$A28)</f>
        <v/>
      </c>
      <c r="E28">
        <f>COUNTIF(Schedule!$G$4:$G$34,$A28)+COUNTIF(Schedule!$H$4:$H$34,$A28)</f>
        <v/>
      </c>
      <c r="F28">
        <f>COUNTIF(Schedule!$I$4:$I$34,$A28)+COUNTIF(Schedule!$J$4:$J$34,$A28)</f>
        <v/>
      </c>
      <c r="G28">
        <f>COUNTIF(Schedule!$K$4:$K$34,$A28)</f>
        <v/>
      </c>
      <c r="H28">
        <f>COUNTIF(Schedule!$L$4:$L$34,$A28)</f>
        <v/>
      </c>
      <c r="I28">
        <f>COUNTIF(Schedule!$M$4:$M$34,$A28)</f>
        <v/>
      </c>
      <c r="J28">
        <f>SUM(H28:I28)</f>
        <v/>
      </c>
      <c r="K28">
        <f>IFERROR(IF(B28&lt;=VLOOKUP(TRIM($A28),Personnel!$A:$N,13,0),"OK","ΥΠΕΡΒΑΣΗ"),"!")</f>
        <v/>
      </c>
      <c r="L28">
        <f>IFERROR(IF(C28&lt;=VLOOKUP(TRIM($A28),Personnel!$A:$N,14,0),"OK","ΠΟΛΛΑ ΣΚ"),"!")</f>
        <v/>
      </c>
    </row>
    <row r="29">
      <c r="A29" t="inlineStr">
        <is>
          <t>ΣΥΝΟΔΙΝΟΣ ΕΡΩΤΟΚΡΙΤΟΣ</t>
        </is>
      </c>
      <c r="B29">
        <f>SUM(D29:G29)</f>
        <v/>
      </c>
      <c r="C29">
        <f>COUNTIFS(Schedule!$A$4:$A$34,"Σάββατο",Schedule!$C$4:$C$34,$A29)+COUNTIFS(Schedule!$A$4:$A$34,"Σάββατο",Schedule!$D$4:$D$34,$A29)+COUNTIFS(Schedule!$A$4:$A$34,"Σάββατο",Schedule!$E$4:$E$34,$A29)+COUNTIFS(Schedule!$A$4:$A$34,"Σάββατο",Schedule!$F$4:$F$34,$A29)+COUNTIFS(Schedule!$A$4:$A$34,"Σάββατο",Schedule!$G$4:$G$34,$A29)+COUNTIFS(Schedule!$A$4:$A$34,"Σάββατο",Schedule!$H$4:$H$34,$A29)+COUNTIFS(Schedule!$A$4:$A$34,"Σάββατο",Schedule!$I$4:$I$34,$A29)+COUNTIFS(Schedule!$A$4:$A$34,"Σάββατο",Schedule!$J$4:$J$34,$A29)+COUNTIFS(Schedule!$A$4:$A$34,"Σάββατο",Schedule!$K$4:$K$34,$A29)+COUNTIFS(Schedule!$A$4:$A$34,"Κυριακή",Schedule!$C$4:$C$34,$A29)+COUNTIFS(Schedule!$A$4:$A$34,"Κυριακή",Schedule!$D$4:$D$34,$A29)+COUNTIFS(Schedule!$A$4:$A$34,"Κυριακή",Schedule!$E$4:$E$34,$A29)+COUNTIFS(Schedule!$A$4:$A$34,"Κυριακή",Schedule!$F$4:$F$34,$A29)+COUNTIFS(Schedule!$A$4:$A$34,"Κυριακή",Schedule!$G$4:$G$34,$A29)+COUNTIFS(Schedule!$A$4:$A$34,"Κυριακή",Schedule!$H$4:$H$34,$A29)+COUNTIFS(Schedule!$A$4:$A$34,"Κυριακή",Schedule!$I$4:$I$34,$A29)+COUNTIFS(Schedule!$A$4:$A$34,"Κυριακή",Schedule!$J$4:$J$34,$A29)+COUNTIFS(Schedule!$A$4:$A$34,"Κυριακή",Schedule!$K$4:$K$34,$A29)</f>
        <v/>
      </c>
      <c r="D29">
        <f>COUNTIF(Schedule!$C$4:$C$34,$A29)+COUNTIF(Schedule!$D$4:$D$34,$A29)+COUNTIF(Schedule!$E$4:$E$34,$A29)+COUNTIF(Schedule!$F$4:$F$34,$A29)</f>
        <v/>
      </c>
      <c r="E29">
        <f>COUNTIF(Schedule!$G$4:$G$34,$A29)+COUNTIF(Schedule!$H$4:$H$34,$A29)</f>
        <v/>
      </c>
      <c r="F29">
        <f>COUNTIF(Schedule!$I$4:$I$34,$A29)+COUNTIF(Schedule!$J$4:$J$34,$A29)</f>
        <v/>
      </c>
      <c r="G29">
        <f>COUNTIF(Schedule!$K$4:$K$34,$A29)</f>
        <v/>
      </c>
      <c r="H29">
        <f>COUNTIF(Schedule!$L$4:$L$34,$A29)</f>
        <v/>
      </c>
      <c r="I29">
        <f>COUNTIF(Schedule!$M$4:$M$34,$A29)</f>
        <v/>
      </c>
      <c r="J29">
        <f>SUM(H29:I29)</f>
        <v/>
      </c>
      <c r="K29">
        <f>IFERROR(IF(B29&lt;=VLOOKUP(TRIM($A29),Personnel!$A:$N,13,0),"OK","ΥΠΕΡΒΑΣΗ"),"!")</f>
        <v/>
      </c>
      <c r="L29">
        <f>IFERROR(IF(C29&lt;=VLOOKUP(TRIM($A29),Personnel!$A:$N,14,0),"OK","ΠΟΛΛΑ ΣΚ"),"!")</f>
        <v/>
      </c>
    </row>
    <row r="30">
      <c r="A30" t="inlineStr">
        <is>
          <t>ΛΥΜΠΕΡΑΤΟΣ ΑΝΔΡΕΑΣ (ΟΧΙ ΣΚ) (ΣΤΗΝ ΑΝΑΓΚΗ 1 ΒΑΥΔΜ ΣΚ)</t>
        </is>
      </c>
      <c r="B30">
        <f>SUM(D30:G30)</f>
        <v/>
      </c>
      <c r="C30">
        <f>COUNTIFS(Schedule!$A$4:$A$34,"Σάββατο",Schedule!$C$4:$C$34,$A30)+COUNTIFS(Schedule!$A$4:$A$34,"Σάββατο",Schedule!$D$4:$D$34,$A30)+COUNTIFS(Schedule!$A$4:$A$34,"Σάββατο",Schedule!$E$4:$E$34,$A30)+COUNTIFS(Schedule!$A$4:$A$34,"Σάββατο",Schedule!$F$4:$F$34,$A30)+COUNTIFS(Schedule!$A$4:$A$34,"Σάββατο",Schedule!$G$4:$G$34,$A30)+COUNTIFS(Schedule!$A$4:$A$34,"Σάββατο",Schedule!$H$4:$H$34,$A30)+COUNTIFS(Schedule!$A$4:$A$34,"Σάββατο",Schedule!$I$4:$I$34,$A30)+COUNTIFS(Schedule!$A$4:$A$34,"Σάββατο",Schedule!$J$4:$J$34,$A30)+COUNTIFS(Schedule!$A$4:$A$34,"Σάββατο",Schedule!$K$4:$K$34,$A30)+COUNTIFS(Schedule!$A$4:$A$34,"Κυριακή",Schedule!$C$4:$C$34,$A30)+COUNTIFS(Schedule!$A$4:$A$34,"Κυριακή",Schedule!$D$4:$D$34,$A30)+COUNTIFS(Schedule!$A$4:$A$34,"Κυριακή",Schedule!$E$4:$E$34,$A30)+COUNTIFS(Schedule!$A$4:$A$34,"Κυριακή",Schedule!$F$4:$F$34,$A30)+COUNTIFS(Schedule!$A$4:$A$34,"Κυριακή",Schedule!$G$4:$G$34,$A30)+COUNTIFS(Schedule!$A$4:$A$34,"Κυριακή",Schedule!$H$4:$H$34,$A30)+COUNTIFS(Schedule!$A$4:$A$34,"Κυριακή",Schedule!$I$4:$I$34,$A30)+COUNTIFS(Schedule!$A$4:$A$34,"Κυριακή",Schedule!$J$4:$J$34,$A30)+COUNTIFS(Schedule!$A$4:$A$34,"Κυριακή",Schedule!$K$4:$K$34,$A30)</f>
        <v/>
      </c>
      <c r="D30">
        <f>COUNTIF(Schedule!$C$4:$C$34,$A30)+COUNTIF(Schedule!$D$4:$D$34,$A30)+COUNTIF(Schedule!$E$4:$E$34,$A30)+COUNTIF(Schedule!$F$4:$F$34,$A30)</f>
        <v/>
      </c>
      <c r="E30">
        <f>COUNTIF(Schedule!$G$4:$G$34,$A30)+COUNTIF(Schedule!$H$4:$H$34,$A30)</f>
        <v/>
      </c>
      <c r="F30">
        <f>COUNTIF(Schedule!$I$4:$I$34,$A30)+COUNTIF(Schedule!$J$4:$J$34,$A30)</f>
        <v/>
      </c>
      <c r="G30">
        <f>COUNTIF(Schedule!$K$4:$K$34,$A30)</f>
        <v/>
      </c>
      <c r="H30">
        <f>COUNTIF(Schedule!$L$4:$L$34,$A30)</f>
        <v/>
      </c>
      <c r="I30">
        <f>COUNTIF(Schedule!$M$4:$M$34,$A30)</f>
        <v/>
      </c>
      <c r="J30">
        <f>SUM(H30:I30)</f>
        <v/>
      </c>
      <c r="K30">
        <f>IFERROR(IF(B30&lt;=VLOOKUP(TRIM($A30),Personnel!$A:$N,13,0),"OK","ΥΠΕΡΒΑΣΗ"),"!")</f>
        <v/>
      </c>
      <c r="L30">
        <f>IFERROR(IF(C30&lt;=VLOOKUP(TRIM($A30),Personnel!$A:$N,14,0),"OK","ΠΟΛΛΑ ΣΚ"),"!")</f>
        <v/>
      </c>
    </row>
    <row r="31">
      <c r="A31" t="inlineStr">
        <is>
          <t>ΓΙΑΝΝΑΚΟΠΟΥΛΟΣ ΑΛΕΞΑΝΔΡΟΣ</t>
        </is>
      </c>
      <c r="B31">
        <f>SUM(D31:G31)</f>
        <v/>
      </c>
      <c r="C31">
        <f>COUNTIFS(Schedule!$A$4:$A$34,"Σάββατο",Schedule!$C$4:$C$34,$A31)+COUNTIFS(Schedule!$A$4:$A$34,"Σάββατο",Schedule!$D$4:$D$34,$A31)+COUNTIFS(Schedule!$A$4:$A$34,"Σάββατο",Schedule!$E$4:$E$34,$A31)+COUNTIFS(Schedule!$A$4:$A$34,"Σάββατο",Schedule!$F$4:$F$34,$A31)+COUNTIFS(Schedule!$A$4:$A$34,"Σάββατο",Schedule!$G$4:$G$34,$A31)+COUNTIFS(Schedule!$A$4:$A$34,"Σάββατο",Schedule!$H$4:$H$34,$A31)+COUNTIFS(Schedule!$A$4:$A$34,"Σάββατο",Schedule!$I$4:$I$34,$A31)+COUNTIFS(Schedule!$A$4:$A$34,"Σάββατο",Schedule!$J$4:$J$34,$A31)+COUNTIFS(Schedule!$A$4:$A$34,"Σάββατο",Schedule!$K$4:$K$34,$A31)+COUNTIFS(Schedule!$A$4:$A$34,"Κυριακή",Schedule!$C$4:$C$34,$A31)+COUNTIFS(Schedule!$A$4:$A$34,"Κυριακή",Schedule!$D$4:$D$34,$A31)+COUNTIFS(Schedule!$A$4:$A$34,"Κυριακή",Schedule!$E$4:$E$34,$A31)+COUNTIFS(Schedule!$A$4:$A$34,"Κυριακή",Schedule!$F$4:$F$34,$A31)+COUNTIFS(Schedule!$A$4:$A$34,"Κυριακή",Schedule!$G$4:$G$34,$A31)+COUNTIFS(Schedule!$A$4:$A$34,"Κυριακή",Schedule!$H$4:$H$34,$A31)+COUNTIFS(Schedule!$A$4:$A$34,"Κυριακή",Schedule!$I$4:$I$34,$A31)+COUNTIFS(Schedule!$A$4:$A$34,"Κυριακή",Schedule!$J$4:$J$34,$A31)+COUNTIFS(Schedule!$A$4:$A$34,"Κυριακή",Schedule!$K$4:$K$34,$A31)</f>
        <v/>
      </c>
      <c r="D31">
        <f>COUNTIF(Schedule!$C$4:$C$34,$A31)+COUNTIF(Schedule!$D$4:$D$34,$A31)+COUNTIF(Schedule!$E$4:$E$34,$A31)+COUNTIF(Schedule!$F$4:$F$34,$A31)</f>
        <v/>
      </c>
      <c r="E31">
        <f>COUNTIF(Schedule!$G$4:$G$34,$A31)+COUNTIF(Schedule!$H$4:$H$34,$A31)</f>
        <v/>
      </c>
      <c r="F31">
        <f>COUNTIF(Schedule!$I$4:$I$34,$A31)+COUNTIF(Schedule!$J$4:$J$34,$A31)</f>
        <v/>
      </c>
      <c r="G31">
        <f>COUNTIF(Schedule!$K$4:$K$34,$A31)</f>
        <v/>
      </c>
      <c r="H31">
        <f>COUNTIF(Schedule!$L$4:$L$34,$A31)</f>
        <v/>
      </c>
      <c r="I31">
        <f>COUNTIF(Schedule!$M$4:$M$34,$A31)</f>
        <v/>
      </c>
      <c r="J31">
        <f>SUM(H31:I31)</f>
        <v/>
      </c>
      <c r="K31">
        <f>IFERROR(IF(B31&lt;=VLOOKUP(TRIM($A31),Personnel!$A:$N,13,0),"OK","ΥΠΕΡΒΑΣΗ"),"!")</f>
        <v/>
      </c>
      <c r="L31">
        <f>IFERROR(IF(C31&lt;=VLOOKUP(TRIM($A31),Personnel!$A:$N,14,0),"OK","ΠΟΛΛΑ ΣΚ"),"!")</f>
        <v/>
      </c>
    </row>
    <row r="32">
      <c r="A32" t="inlineStr">
        <is>
          <t>ΦΕΡΓΑΔΗΣ ΚΩΝΣΤΑΝΤΙΝΟΣ</t>
        </is>
      </c>
      <c r="B32">
        <f>SUM(D32:G32)</f>
        <v/>
      </c>
      <c r="C32">
        <f>COUNTIFS(Schedule!$A$4:$A$34,"Σάββατο",Schedule!$C$4:$C$34,$A32)+COUNTIFS(Schedule!$A$4:$A$34,"Σάββατο",Schedule!$D$4:$D$34,$A32)+COUNTIFS(Schedule!$A$4:$A$34,"Σάββατο",Schedule!$E$4:$E$34,$A32)+COUNTIFS(Schedule!$A$4:$A$34,"Σάββατο",Schedule!$F$4:$F$34,$A32)+COUNTIFS(Schedule!$A$4:$A$34,"Σάββατο",Schedule!$G$4:$G$34,$A32)+COUNTIFS(Schedule!$A$4:$A$34,"Σάββατο",Schedule!$H$4:$H$34,$A32)+COUNTIFS(Schedule!$A$4:$A$34,"Σάββατο",Schedule!$I$4:$I$34,$A32)+COUNTIFS(Schedule!$A$4:$A$34,"Σάββατο",Schedule!$J$4:$J$34,$A32)+COUNTIFS(Schedule!$A$4:$A$34,"Σάββατο",Schedule!$K$4:$K$34,$A32)+COUNTIFS(Schedule!$A$4:$A$34,"Κυριακή",Schedule!$C$4:$C$34,$A32)+COUNTIFS(Schedule!$A$4:$A$34,"Κυριακή",Schedule!$D$4:$D$34,$A32)+COUNTIFS(Schedule!$A$4:$A$34,"Κυριακή",Schedule!$E$4:$E$34,$A32)+COUNTIFS(Schedule!$A$4:$A$34,"Κυριακή",Schedule!$F$4:$F$34,$A32)+COUNTIFS(Schedule!$A$4:$A$34,"Κυριακή",Schedule!$G$4:$G$34,$A32)+COUNTIFS(Schedule!$A$4:$A$34,"Κυριακή",Schedule!$H$4:$H$34,$A32)+COUNTIFS(Schedule!$A$4:$A$34,"Κυριακή",Schedule!$I$4:$I$34,$A32)+COUNTIFS(Schedule!$A$4:$A$34,"Κυριακή",Schedule!$J$4:$J$34,$A32)+COUNTIFS(Schedule!$A$4:$A$34,"Κυριακή",Schedule!$K$4:$K$34,$A32)</f>
        <v/>
      </c>
      <c r="D32">
        <f>COUNTIF(Schedule!$C$4:$C$34,$A32)+COUNTIF(Schedule!$D$4:$D$34,$A32)+COUNTIF(Schedule!$E$4:$E$34,$A32)+COUNTIF(Schedule!$F$4:$F$34,$A32)</f>
        <v/>
      </c>
      <c r="E32">
        <f>COUNTIF(Schedule!$G$4:$G$34,$A32)+COUNTIF(Schedule!$H$4:$H$34,$A32)</f>
        <v/>
      </c>
      <c r="F32">
        <f>COUNTIF(Schedule!$I$4:$I$34,$A32)+COUNTIF(Schedule!$J$4:$J$34,$A32)</f>
        <v/>
      </c>
      <c r="G32">
        <f>COUNTIF(Schedule!$K$4:$K$34,$A32)</f>
        <v/>
      </c>
      <c r="H32">
        <f>COUNTIF(Schedule!$L$4:$L$34,$A32)</f>
        <v/>
      </c>
      <c r="I32">
        <f>COUNTIF(Schedule!$M$4:$M$34,$A32)</f>
        <v/>
      </c>
      <c r="J32">
        <f>SUM(H32:I32)</f>
        <v/>
      </c>
      <c r="K32">
        <f>IFERROR(IF(B32&lt;=VLOOKUP(TRIM($A32),Personnel!$A:$N,13,0),"OK","ΥΠΕΡΒΑΣΗ"),"!")</f>
        <v/>
      </c>
      <c r="L32">
        <f>IFERROR(IF(C32&lt;=VLOOKUP(TRIM($A32),Personnel!$A:$N,14,0),"OK","ΠΟΛΛΑ ΣΚ"),"!")</f>
        <v/>
      </c>
    </row>
    <row r="33">
      <c r="A33" t="inlineStr">
        <is>
          <t>ΠΙΕΡΡΟΣ ΠΑΝΑΓΙΩΤΗΣ (Ι2)</t>
        </is>
      </c>
      <c r="B33">
        <f>SUM(D33:G33)</f>
        <v/>
      </c>
      <c r="C33">
        <f>COUNTIFS(Schedule!$A$4:$A$34,"Σάββατο",Schedule!$C$4:$C$34,$A33)+COUNTIFS(Schedule!$A$4:$A$34,"Σάββατο",Schedule!$D$4:$D$34,$A33)+COUNTIFS(Schedule!$A$4:$A$34,"Σάββατο",Schedule!$E$4:$E$34,$A33)+COUNTIFS(Schedule!$A$4:$A$34,"Σάββατο",Schedule!$F$4:$F$34,$A33)+COUNTIFS(Schedule!$A$4:$A$34,"Σάββατο",Schedule!$G$4:$G$34,$A33)+COUNTIFS(Schedule!$A$4:$A$34,"Σάββατο",Schedule!$H$4:$H$34,$A33)+COUNTIFS(Schedule!$A$4:$A$34,"Σάββατο",Schedule!$I$4:$I$34,$A33)+COUNTIFS(Schedule!$A$4:$A$34,"Σάββατο",Schedule!$J$4:$J$34,$A33)+COUNTIFS(Schedule!$A$4:$A$34,"Σάββατο",Schedule!$K$4:$K$34,$A33)+COUNTIFS(Schedule!$A$4:$A$34,"Κυριακή",Schedule!$C$4:$C$34,$A33)+COUNTIFS(Schedule!$A$4:$A$34,"Κυριακή",Schedule!$D$4:$D$34,$A33)+COUNTIFS(Schedule!$A$4:$A$34,"Κυριακή",Schedule!$E$4:$E$34,$A33)+COUNTIFS(Schedule!$A$4:$A$34,"Κυριακή",Schedule!$F$4:$F$34,$A33)+COUNTIFS(Schedule!$A$4:$A$34,"Κυριακή",Schedule!$G$4:$G$34,$A33)+COUNTIFS(Schedule!$A$4:$A$34,"Κυριακή",Schedule!$H$4:$H$34,$A33)+COUNTIFS(Schedule!$A$4:$A$34,"Κυριακή",Schedule!$I$4:$I$34,$A33)+COUNTIFS(Schedule!$A$4:$A$34,"Κυριακή",Schedule!$J$4:$J$34,$A33)+COUNTIFS(Schedule!$A$4:$A$34,"Κυριακή",Schedule!$K$4:$K$34,$A33)</f>
        <v/>
      </c>
      <c r="D33">
        <f>COUNTIF(Schedule!$C$4:$C$34,$A33)+COUNTIF(Schedule!$D$4:$D$34,$A33)+COUNTIF(Schedule!$E$4:$E$34,$A33)+COUNTIF(Schedule!$F$4:$F$34,$A33)</f>
        <v/>
      </c>
      <c r="E33">
        <f>COUNTIF(Schedule!$G$4:$G$34,$A33)+COUNTIF(Schedule!$H$4:$H$34,$A33)</f>
        <v/>
      </c>
      <c r="F33">
        <f>COUNTIF(Schedule!$I$4:$I$34,$A33)+COUNTIF(Schedule!$J$4:$J$34,$A33)</f>
        <v/>
      </c>
      <c r="G33">
        <f>COUNTIF(Schedule!$K$4:$K$34,$A33)</f>
        <v/>
      </c>
      <c r="H33">
        <f>COUNTIF(Schedule!$L$4:$L$34,$A33)</f>
        <v/>
      </c>
      <c r="I33">
        <f>COUNTIF(Schedule!$M$4:$M$34,$A33)</f>
        <v/>
      </c>
      <c r="J33">
        <f>SUM(H33:I33)</f>
        <v/>
      </c>
      <c r="K33">
        <f>IFERROR(IF(B33&lt;=VLOOKUP(TRIM($A33),Personnel!$A:$N,13,0),"OK","ΥΠΕΡΒΑΣΗ"),"!")</f>
        <v/>
      </c>
      <c r="L33">
        <f>IFERROR(IF(C33&lt;=VLOOKUP(TRIM($A33),Personnel!$A:$N,14,0),"OK","ΠΟΛΛΑ ΣΚ"),"!")</f>
        <v/>
      </c>
    </row>
    <row r="34">
      <c r="A34" t="inlineStr">
        <is>
          <t>ΧΟΣΑΦΙ ΑΡΜΠΗ</t>
        </is>
      </c>
      <c r="B34">
        <f>SUM(D34:G34)</f>
        <v/>
      </c>
      <c r="C34">
        <f>COUNTIFS(Schedule!$A$4:$A$34,"Σάββατο",Schedule!$C$4:$C$34,$A34)+COUNTIFS(Schedule!$A$4:$A$34,"Σάββατο",Schedule!$D$4:$D$34,$A34)+COUNTIFS(Schedule!$A$4:$A$34,"Σάββατο",Schedule!$E$4:$E$34,$A34)+COUNTIFS(Schedule!$A$4:$A$34,"Σάββατο",Schedule!$F$4:$F$34,$A34)+COUNTIFS(Schedule!$A$4:$A$34,"Σάββατο",Schedule!$G$4:$G$34,$A34)+COUNTIFS(Schedule!$A$4:$A$34,"Σάββατο",Schedule!$H$4:$H$34,$A34)+COUNTIFS(Schedule!$A$4:$A$34,"Σάββατο",Schedule!$I$4:$I$34,$A34)+COUNTIFS(Schedule!$A$4:$A$34,"Σάββατο",Schedule!$J$4:$J$34,$A34)+COUNTIFS(Schedule!$A$4:$A$34,"Σάββατο",Schedule!$K$4:$K$34,$A34)+COUNTIFS(Schedule!$A$4:$A$34,"Κυριακή",Schedule!$C$4:$C$34,$A34)+COUNTIFS(Schedule!$A$4:$A$34,"Κυριακή",Schedule!$D$4:$D$34,$A34)+COUNTIFS(Schedule!$A$4:$A$34,"Κυριακή",Schedule!$E$4:$E$34,$A34)+COUNTIFS(Schedule!$A$4:$A$34,"Κυριακή",Schedule!$F$4:$F$34,$A34)+COUNTIFS(Schedule!$A$4:$A$34,"Κυριακή",Schedule!$G$4:$G$34,$A34)+COUNTIFS(Schedule!$A$4:$A$34,"Κυριακή",Schedule!$H$4:$H$34,$A34)+COUNTIFS(Schedule!$A$4:$A$34,"Κυριακή",Schedule!$I$4:$I$34,$A34)+COUNTIFS(Schedule!$A$4:$A$34,"Κυριακή",Schedule!$J$4:$J$34,$A34)+COUNTIFS(Schedule!$A$4:$A$34,"Κυριακή",Schedule!$K$4:$K$34,$A34)</f>
        <v/>
      </c>
      <c r="D34">
        <f>COUNTIF(Schedule!$C$4:$C$34,$A34)+COUNTIF(Schedule!$D$4:$D$34,$A34)+COUNTIF(Schedule!$E$4:$E$34,$A34)+COUNTIF(Schedule!$F$4:$F$34,$A34)</f>
        <v/>
      </c>
      <c r="E34">
        <f>COUNTIF(Schedule!$G$4:$G$34,$A34)+COUNTIF(Schedule!$H$4:$H$34,$A34)</f>
        <v/>
      </c>
      <c r="F34">
        <f>COUNTIF(Schedule!$I$4:$I$34,$A34)+COUNTIF(Schedule!$J$4:$J$34,$A34)</f>
        <v/>
      </c>
      <c r="G34">
        <f>COUNTIF(Schedule!$K$4:$K$34,$A34)</f>
        <v/>
      </c>
      <c r="H34">
        <f>COUNTIF(Schedule!$L$4:$L$34,$A34)</f>
        <v/>
      </c>
      <c r="I34">
        <f>COUNTIF(Schedule!$M$4:$M$34,$A34)</f>
        <v/>
      </c>
      <c r="J34">
        <f>SUM(H34:I34)</f>
        <v/>
      </c>
      <c r="K34">
        <f>IFERROR(IF(B34&lt;=VLOOKUP(TRIM($A34),Personnel!$A:$N,13,0),"OK","ΥΠΕΡΒΑΣΗ"),"!")</f>
        <v/>
      </c>
      <c r="L34">
        <f>IFERROR(IF(C34&lt;=VLOOKUP(TRIM($A34),Personnel!$A:$N,14,0),"OK","ΠΟΛΛΑ ΣΚ"),"!")</f>
        <v/>
      </c>
    </row>
    <row r="35">
      <c r="A35" t="inlineStr">
        <is>
          <t>ΔΟΥΜΑΝΟΓΛΟΥ ΗΛΙΑΣ</t>
        </is>
      </c>
      <c r="B35">
        <f>SUM(D35:G35)</f>
        <v/>
      </c>
      <c r="C35">
        <f>COUNTIFS(Schedule!$A$4:$A$34,"Σάββατο",Schedule!$C$4:$C$34,$A35)+COUNTIFS(Schedule!$A$4:$A$34,"Σάββατο",Schedule!$D$4:$D$34,$A35)+COUNTIFS(Schedule!$A$4:$A$34,"Σάββατο",Schedule!$E$4:$E$34,$A35)+COUNTIFS(Schedule!$A$4:$A$34,"Σάββατο",Schedule!$F$4:$F$34,$A35)+COUNTIFS(Schedule!$A$4:$A$34,"Σάββατο",Schedule!$G$4:$G$34,$A35)+COUNTIFS(Schedule!$A$4:$A$34,"Σάββατο",Schedule!$H$4:$H$34,$A35)+COUNTIFS(Schedule!$A$4:$A$34,"Σάββατο",Schedule!$I$4:$I$34,$A35)+COUNTIFS(Schedule!$A$4:$A$34,"Σάββατο",Schedule!$J$4:$J$34,$A35)+COUNTIFS(Schedule!$A$4:$A$34,"Σάββατο",Schedule!$K$4:$K$34,$A35)+COUNTIFS(Schedule!$A$4:$A$34,"Κυριακή",Schedule!$C$4:$C$34,$A35)+COUNTIFS(Schedule!$A$4:$A$34,"Κυριακή",Schedule!$D$4:$D$34,$A35)+COUNTIFS(Schedule!$A$4:$A$34,"Κυριακή",Schedule!$E$4:$E$34,$A35)+COUNTIFS(Schedule!$A$4:$A$34,"Κυριακή",Schedule!$F$4:$F$34,$A35)+COUNTIFS(Schedule!$A$4:$A$34,"Κυριακή",Schedule!$G$4:$G$34,$A35)+COUNTIFS(Schedule!$A$4:$A$34,"Κυριακή",Schedule!$H$4:$H$34,$A35)+COUNTIFS(Schedule!$A$4:$A$34,"Κυριακή",Schedule!$I$4:$I$34,$A35)+COUNTIFS(Schedule!$A$4:$A$34,"Κυριακή",Schedule!$J$4:$J$34,$A35)+COUNTIFS(Schedule!$A$4:$A$34,"Κυριακή",Schedule!$K$4:$K$34,$A35)</f>
        <v/>
      </c>
      <c r="D35">
        <f>COUNTIF(Schedule!$C$4:$C$34,$A35)+COUNTIF(Schedule!$D$4:$D$34,$A35)+COUNTIF(Schedule!$E$4:$E$34,$A35)+COUNTIF(Schedule!$F$4:$F$34,$A35)</f>
        <v/>
      </c>
      <c r="E35">
        <f>COUNTIF(Schedule!$G$4:$G$34,$A35)+COUNTIF(Schedule!$H$4:$H$34,$A35)</f>
        <v/>
      </c>
      <c r="F35">
        <f>COUNTIF(Schedule!$I$4:$I$34,$A35)+COUNTIF(Schedule!$J$4:$J$34,$A35)</f>
        <v/>
      </c>
      <c r="G35">
        <f>COUNTIF(Schedule!$K$4:$K$34,$A35)</f>
        <v/>
      </c>
      <c r="H35">
        <f>COUNTIF(Schedule!$L$4:$L$34,$A35)</f>
        <v/>
      </c>
      <c r="I35">
        <f>COUNTIF(Schedule!$M$4:$M$34,$A35)</f>
        <v/>
      </c>
      <c r="J35">
        <f>SUM(H35:I35)</f>
        <v/>
      </c>
      <c r="K35">
        <f>IFERROR(IF(B35&lt;=VLOOKUP(TRIM($A35),Personnel!$A:$N,13,0),"OK","ΥΠΕΡΒΑΣΗ"),"!")</f>
        <v/>
      </c>
      <c r="L35">
        <f>IFERROR(IF(C35&lt;=VLOOKUP(TRIM($A35),Personnel!$A:$N,14,0),"OK","ΠΟΛΛΑ ΣΚ"),"!")</f>
        <v/>
      </c>
    </row>
    <row r="36">
      <c r="A36" t="inlineStr">
        <is>
          <t>ΣΠΥΡΟΠΟΥΛΟΣ ΔΙΟΝΥΣΙΟΣ</t>
        </is>
      </c>
      <c r="B36">
        <f>SUM(D36:G36)</f>
        <v/>
      </c>
      <c r="C36">
        <f>COUNTIFS(Schedule!$A$4:$A$34,"Σάββατο",Schedule!$C$4:$C$34,$A36)+COUNTIFS(Schedule!$A$4:$A$34,"Σάββατο",Schedule!$D$4:$D$34,$A36)+COUNTIFS(Schedule!$A$4:$A$34,"Σάββατο",Schedule!$E$4:$E$34,$A36)+COUNTIFS(Schedule!$A$4:$A$34,"Σάββατο",Schedule!$F$4:$F$34,$A36)+COUNTIFS(Schedule!$A$4:$A$34,"Σάββατο",Schedule!$G$4:$G$34,$A36)+COUNTIFS(Schedule!$A$4:$A$34,"Σάββατο",Schedule!$H$4:$H$34,$A36)+COUNTIFS(Schedule!$A$4:$A$34,"Σάββατο",Schedule!$I$4:$I$34,$A36)+COUNTIFS(Schedule!$A$4:$A$34,"Σάββατο",Schedule!$J$4:$J$34,$A36)+COUNTIFS(Schedule!$A$4:$A$34,"Σάββατο",Schedule!$K$4:$K$34,$A36)+COUNTIFS(Schedule!$A$4:$A$34,"Κυριακή",Schedule!$C$4:$C$34,$A36)+COUNTIFS(Schedule!$A$4:$A$34,"Κυριακή",Schedule!$D$4:$D$34,$A36)+COUNTIFS(Schedule!$A$4:$A$34,"Κυριακή",Schedule!$E$4:$E$34,$A36)+COUNTIFS(Schedule!$A$4:$A$34,"Κυριακή",Schedule!$F$4:$F$34,$A36)+COUNTIFS(Schedule!$A$4:$A$34,"Κυριακή",Schedule!$G$4:$G$34,$A36)+COUNTIFS(Schedule!$A$4:$A$34,"Κυριακή",Schedule!$H$4:$H$34,$A36)+COUNTIFS(Schedule!$A$4:$A$34,"Κυριακή",Schedule!$I$4:$I$34,$A36)+COUNTIFS(Schedule!$A$4:$A$34,"Κυριακή",Schedule!$J$4:$J$34,$A36)+COUNTIFS(Schedule!$A$4:$A$34,"Κυριακή",Schedule!$K$4:$K$34,$A36)</f>
        <v/>
      </c>
      <c r="D36">
        <f>COUNTIF(Schedule!$C$4:$C$34,$A36)+COUNTIF(Schedule!$D$4:$D$34,$A36)+COUNTIF(Schedule!$E$4:$E$34,$A36)+COUNTIF(Schedule!$F$4:$F$34,$A36)</f>
        <v/>
      </c>
      <c r="E36">
        <f>COUNTIF(Schedule!$G$4:$G$34,$A36)+COUNTIF(Schedule!$H$4:$H$34,$A36)</f>
        <v/>
      </c>
      <c r="F36">
        <f>COUNTIF(Schedule!$I$4:$I$34,$A36)+COUNTIF(Schedule!$J$4:$J$34,$A36)</f>
        <v/>
      </c>
      <c r="G36">
        <f>COUNTIF(Schedule!$K$4:$K$34,$A36)</f>
        <v/>
      </c>
      <c r="H36">
        <f>COUNTIF(Schedule!$L$4:$L$34,$A36)</f>
        <v/>
      </c>
      <c r="I36">
        <f>COUNTIF(Schedule!$M$4:$M$34,$A36)</f>
        <v/>
      </c>
      <c r="J36">
        <f>SUM(H36:I36)</f>
        <v/>
      </c>
      <c r="K36">
        <f>IFERROR(IF(B36&lt;=VLOOKUP(TRIM($A36),Personnel!$A:$N,13,0),"OK","ΥΠΕΡΒΑΣΗ"),"!")</f>
        <v/>
      </c>
      <c r="L36">
        <f>IFERROR(IF(C36&lt;=VLOOKUP(TRIM($A36),Personnel!$A:$N,14,0),"OK","ΠΟΛΛΑ ΣΚ"),"!")</f>
        <v/>
      </c>
    </row>
    <row r="37">
      <c r="A37" t="inlineStr">
        <is>
          <t>ΣΤΑΜΟΥ ΙΩΑΝΝΗΣ</t>
        </is>
      </c>
      <c r="B37">
        <f>SUM(D37:G37)</f>
        <v/>
      </c>
      <c r="C37">
        <f>COUNTIFS(Schedule!$A$4:$A$34,"Σάββατο",Schedule!$C$4:$C$34,$A37)+COUNTIFS(Schedule!$A$4:$A$34,"Σάββατο",Schedule!$D$4:$D$34,$A37)+COUNTIFS(Schedule!$A$4:$A$34,"Σάββατο",Schedule!$E$4:$E$34,$A37)+COUNTIFS(Schedule!$A$4:$A$34,"Σάββατο",Schedule!$F$4:$F$34,$A37)+COUNTIFS(Schedule!$A$4:$A$34,"Σάββατο",Schedule!$G$4:$G$34,$A37)+COUNTIFS(Schedule!$A$4:$A$34,"Σάββατο",Schedule!$H$4:$H$34,$A37)+COUNTIFS(Schedule!$A$4:$A$34,"Σάββατο",Schedule!$I$4:$I$34,$A37)+COUNTIFS(Schedule!$A$4:$A$34,"Σάββατο",Schedule!$J$4:$J$34,$A37)+COUNTIFS(Schedule!$A$4:$A$34,"Σάββατο",Schedule!$K$4:$K$34,$A37)+COUNTIFS(Schedule!$A$4:$A$34,"Κυριακή",Schedule!$C$4:$C$34,$A37)+COUNTIFS(Schedule!$A$4:$A$34,"Κυριακή",Schedule!$D$4:$D$34,$A37)+COUNTIFS(Schedule!$A$4:$A$34,"Κυριακή",Schedule!$E$4:$E$34,$A37)+COUNTIFS(Schedule!$A$4:$A$34,"Κυριακή",Schedule!$F$4:$F$34,$A37)+COUNTIFS(Schedule!$A$4:$A$34,"Κυριακή",Schedule!$G$4:$G$34,$A37)+COUNTIFS(Schedule!$A$4:$A$34,"Κυριακή",Schedule!$H$4:$H$34,$A37)+COUNTIFS(Schedule!$A$4:$A$34,"Κυριακή",Schedule!$I$4:$I$34,$A37)+COUNTIFS(Schedule!$A$4:$A$34,"Κυριακή",Schedule!$J$4:$J$34,$A37)+COUNTIFS(Schedule!$A$4:$A$34,"Κυριακή",Schedule!$K$4:$K$34,$A37)</f>
        <v/>
      </c>
      <c r="D37">
        <f>COUNTIF(Schedule!$C$4:$C$34,$A37)+COUNTIF(Schedule!$D$4:$D$34,$A37)+COUNTIF(Schedule!$E$4:$E$34,$A37)+COUNTIF(Schedule!$F$4:$F$34,$A37)</f>
        <v/>
      </c>
      <c r="E37">
        <f>COUNTIF(Schedule!$G$4:$G$34,$A37)+COUNTIF(Schedule!$H$4:$H$34,$A37)</f>
        <v/>
      </c>
      <c r="F37">
        <f>COUNTIF(Schedule!$I$4:$I$34,$A37)+COUNTIF(Schedule!$J$4:$J$34,$A37)</f>
        <v/>
      </c>
      <c r="G37">
        <f>COUNTIF(Schedule!$K$4:$K$34,$A37)</f>
        <v/>
      </c>
      <c r="H37">
        <f>COUNTIF(Schedule!$L$4:$L$34,$A37)</f>
        <v/>
      </c>
      <c r="I37">
        <f>COUNTIF(Schedule!$M$4:$M$34,$A37)</f>
        <v/>
      </c>
      <c r="J37">
        <f>SUM(H37:I37)</f>
        <v/>
      </c>
      <c r="K37">
        <f>IFERROR(IF(B37&lt;=VLOOKUP(TRIM($A37),Personnel!$A:$N,13,0),"OK","ΥΠΕΡΒΑΣΗ"),"!")</f>
        <v/>
      </c>
      <c r="L37">
        <f>IFERROR(IF(C37&lt;=VLOOKUP(TRIM($A37),Personnel!$A:$N,14,0),"OK","ΠΟΛΛΑ ΣΚ"),"!")</f>
        <v/>
      </c>
    </row>
    <row r="38">
      <c r="A38" t="inlineStr">
        <is>
          <t>ΜΗΤΣΟΥ ΜΑΡΙΟΣ ΝΑΠΟΛΕΩΝ</t>
        </is>
      </c>
      <c r="B38">
        <f>SUM(D38:G38)</f>
        <v/>
      </c>
      <c r="C38">
        <f>COUNTIFS(Schedule!$A$4:$A$34,"Σάββατο",Schedule!$C$4:$C$34,$A38)+COUNTIFS(Schedule!$A$4:$A$34,"Σάββατο",Schedule!$D$4:$D$34,$A38)+COUNTIFS(Schedule!$A$4:$A$34,"Σάββατο",Schedule!$E$4:$E$34,$A38)+COUNTIFS(Schedule!$A$4:$A$34,"Σάββατο",Schedule!$F$4:$F$34,$A38)+COUNTIFS(Schedule!$A$4:$A$34,"Σάββατο",Schedule!$G$4:$G$34,$A38)+COUNTIFS(Schedule!$A$4:$A$34,"Σάββατο",Schedule!$H$4:$H$34,$A38)+COUNTIFS(Schedule!$A$4:$A$34,"Σάββατο",Schedule!$I$4:$I$34,$A38)+COUNTIFS(Schedule!$A$4:$A$34,"Σάββατο",Schedule!$J$4:$J$34,$A38)+COUNTIFS(Schedule!$A$4:$A$34,"Σάββατο",Schedule!$K$4:$K$34,$A38)+COUNTIFS(Schedule!$A$4:$A$34,"Κυριακή",Schedule!$C$4:$C$34,$A38)+COUNTIFS(Schedule!$A$4:$A$34,"Κυριακή",Schedule!$D$4:$D$34,$A38)+COUNTIFS(Schedule!$A$4:$A$34,"Κυριακή",Schedule!$E$4:$E$34,$A38)+COUNTIFS(Schedule!$A$4:$A$34,"Κυριακή",Schedule!$F$4:$F$34,$A38)+COUNTIFS(Schedule!$A$4:$A$34,"Κυριακή",Schedule!$G$4:$G$34,$A38)+COUNTIFS(Schedule!$A$4:$A$34,"Κυριακή",Schedule!$H$4:$H$34,$A38)+COUNTIFS(Schedule!$A$4:$A$34,"Κυριακή",Schedule!$I$4:$I$34,$A38)+COUNTIFS(Schedule!$A$4:$A$34,"Κυριακή",Schedule!$J$4:$J$34,$A38)+COUNTIFS(Schedule!$A$4:$A$34,"Κυριακή",Schedule!$K$4:$K$34,$A38)</f>
        <v/>
      </c>
      <c r="D38">
        <f>COUNTIF(Schedule!$C$4:$C$34,$A38)+COUNTIF(Schedule!$D$4:$D$34,$A38)+COUNTIF(Schedule!$E$4:$E$34,$A38)+COUNTIF(Schedule!$F$4:$F$34,$A38)</f>
        <v/>
      </c>
      <c r="E38">
        <f>COUNTIF(Schedule!$G$4:$G$34,$A38)+COUNTIF(Schedule!$H$4:$H$34,$A38)</f>
        <v/>
      </c>
      <c r="F38">
        <f>COUNTIF(Schedule!$I$4:$I$34,$A38)+COUNTIF(Schedule!$J$4:$J$34,$A38)</f>
        <v/>
      </c>
      <c r="G38">
        <f>COUNTIF(Schedule!$K$4:$K$34,$A38)</f>
        <v/>
      </c>
      <c r="H38">
        <f>COUNTIF(Schedule!$L$4:$L$34,$A38)</f>
        <v/>
      </c>
      <c r="I38">
        <f>COUNTIF(Schedule!$M$4:$M$34,$A38)</f>
        <v/>
      </c>
      <c r="J38">
        <f>SUM(H38:I38)</f>
        <v/>
      </c>
      <c r="K38">
        <f>IFERROR(IF(B38&lt;=VLOOKUP(TRIM($A38),Personnel!$A:$N,13,0),"OK","ΥΠΕΡΒΑΣΗ"),"!")</f>
        <v/>
      </c>
      <c r="L38">
        <f>IFERROR(IF(C38&lt;=VLOOKUP(TRIM($A38),Personnel!$A:$N,14,0),"OK","ΠΟΛΛΑ ΣΚ"),"!")</f>
        <v/>
      </c>
    </row>
    <row r="39">
      <c r="A39" t="inlineStr">
        <is>
          <t>ΘΩΜΟΠΟΥΛΟΣ ΔΗΜΗΤΡΙΟΣ (ΜΟΝΟ ΚΑΘΗΜΕΡΙΝΕΣ, ΜΠΟΡΕΙ ΚΑΙ Χ2 ΤΗΝ ΒΔΟΜΑΔΑ)</t>
        </is>
      </c>
      <c r="B39">
        <f>SUM(D39:G39)</f>
        <v/>
      </c>
      <c r="C39">
        <f>COUNTIFS(Schedule!$A$4:$A$34,"Σάββατο",Schedule!$C$4:$C$34,$A39)+COUNTIFS(Schedule!$A$4:$A$34,"Σάββατο",Schedule!$D$4:$D$34,$A39)+COUNTIFS(Schedule!$A$4:$A$34,"Σάββατο",Schedule!$E$4:$E$34,$A39)+COUNTIFS(Schedule!$A$4:$A$34,"Σάββατο",Schedule!$F$4:$F$34,$A39)+COUNTIFS(Schedule!$A$4:$A$34,"Σάββατο",Schedule!$G$4:$G$34,$A39)+COUNTIFS(Schedule!$A$4:$A$34,"Σάββατο",Schedule!$H$4:$H$34,$A39)+COUNTIFS(Schedule!$A$4:$A$34,"Σάββατο",Schedule!$I$4:$I$34,$A39)+COUNTIFS(Schedule!$A$4:$A$34,"Σάββατο",Schedule!$J$4:$J$34,$A39)+COUNTIFS(Schedule!$A$4:$A$34,"Σάββατο",Schedule!$K$4:$K$34,$A39)+COUNTIFS(Schedule!$A$4:$A$34,"Κυριακή",Schedule!$C$4:$C$34,$A39)+COUNTIFS(Schedule!$A$4:$A$34,"Κυριακή",Schedule!$D$4:$D$34,$A39)+COUNTIFS(Schedule!$A$4:$A$34,"Κυριακή",Schedule!$E$4:$E$34,$A39)+COUNTIFS(Schedule!$A$4:$A$34,"Κυριακή",Schedule!$F$4:$F$34,$A39)+COUNTIFS(Schedule!$A$4:$A$34,"Κυριακή",Schedule!$G$4:$G$34,$A39)+COUNTIFS(Schedule!$A$4:$A$34,"Κυριακή",Schedule!$H$4:$H$34,$A39)+COUNTIFS(Schedule!$A$4:$A$34,"Κυριακή",Schedule!$I$4:$I$34,$A39)+COUNTIFS(Schedule!$A$4:$A$34,"Κυριακή",Schedule!$J$4:$J$34,$A39)+COUNTIFS(Schedule!$A$4:$A$34,"Κυριακή",Schedule!$K$4:$K$34,$A39)</f>
        <v/>
      </c>
      <c r="D39">
        <f>COUNTIF(Schedule!$C$4:$C$34,$A39)+COUNTIF(Schedule!$D$4:$D$34,$A39)+COUNTIF(Schedule!$E$4:$E$34,$A39)+COUNTIF(Schedule!$F$4:$F$34,$A39)</f>
        <v/>
      </c>
      <c r="E39">
        <f>COUNTIF(Schedule!$G$4:$G$34,$A39)+COUNTIF(Schedule!$H$4:$H$34,$A39)</f>
        <v/>
      </c>
      <c r="F39">
        <f>COUNTIF(Schedule!$I$4:$I$34,$A39)+COUNTIF(Schedule!$J$4:$J$34,$A39)</f>
        <v/>
      </c>
      <c r="G39">
        <f>COUNTIF(Schedule!$K$4:$K$34,$A39)</f>
        <v/>
      </c>
      <c r="H39">
        <f>COUNTIF(Schedule!$L$4:$L$34,$A39)</f>
        <v/>
      </c>
      <c r="I39">
        <f>COUNTIF(Schedule!$M$4:$M$34,$A39)</f>
        <v/>
      </c>
      <c r="J39">
        <f>SUM(H39:I39)</f>
        <v/>
      </c>
      <c r="K39">
        <f>IFERROR(IF(B39&lt;=VLOOKUP(TRIM($A39),Personnel!$A:$N,13,0),"OK","ΥΠΕΡΒΑΣΗ"),"!")</f>
        <v/>
      </c>
      <c r="L39">
        <f>IFERROR(IF(C39&lt;=VLOOKUP(TRIM($A39),Personnel!$A:$N,14,0),"OK","ΠΟΛΛΑ ΣΚ"),"!")</f>
        <v/>
      </c>
    </row>
    <row r="40">
      <c r="A40" t="inlineStr">
        <is>
          <t>ΣΤΕΡΓΙΟΥ ΜΙΧΑΗΛ</t>
        </is>
      </c>
      <c r="B40">
        <f>SUM(D40:G40)</f>
        <v/>
      </c>
      <c r="C40">
        <f>COUNTIFS(Schedule!$A$4:$A$34,"Σάββατο",Schedule!$C$4:$C$34,$A40)+COUNTIFS(Schedule!$A$4:$A$34,"Σάββατο",Schedule!$D$4:$D$34,$A40)+COUNTIFS(Schedule!$A$4:$A$34,"Σάββατο",Schedule!$E$4:$E$34,$A40)+COUNTIFS(Schedule!$A$4:$A$34,"Σάββατο",Schedule!$F$4:$F$34,$A40)+COUNTIFS(Schedule!$A$4:$A$34,"Σάββατο",Schedule!$G$4:$G$34,$A40)+COUNTIFS(Schedule!$A$4:$A$34,"Σάββατο",Schedule!$H$4:$H$34,$A40)+COUNTIFS(Schedule!$A$4:$A$34,"Σάββατο",Schedule!$I$4:$I$34,$A40)+COUNTIFS(Schedule!$A$4:$A$34,"Σάββατο",Schedule!$J$4:$J$34,$A40)+COUNTIFS(Schedule!$A$4:$A$34,"Σάββατο",Schedule!$K$4:$K$34,$A40)+COUNTIFS(Schedule!$A$4:$A$34,"Κυριακή",Schedule!$C$4:$C$34,$A40)+COUNTIFS(Schedule!$A$4:$A$34,"Κυριακή",Schedule!$D$4:$D$34,$A40)+COUNTIFS(Schedule!$A$4:$A$34,"Κυριακή",Schedule!$E$4:$E$34,$A40)+COUNTIFS(Schedule!$A$4:$A$34,"Κυριακή",Schedule!$F$4:$F$34,$A40)+COUNTIFS(Schedule!$A$4:$A$34,"Κυριακή",Schedule!$G$4:$G$34,$A40)+COUNTIFS(Schedule!$A$4:$A$34,"Κυριακή",Schedule!$H$4:$H$34,$A40)+COUNTIFS(Schedule!$A$4:$A$34,"Κυριακή",Schedule!$I$4:$I$34,$A40)+COUNTIFS(Schedule!$A$4:$A$34,"Κυριακή",Schedule!$J$4:$J$34,$A40)+COUNTIFS(Schedule!$A$4:$A$34,"Κυριακή",Schedule!$K$4:$K$34,$A40)</f>
        <v/>
      </c>
      <c r="D40">
        <f>COUNTIF(Schedule!$C$4:$C$34,$A40)+COUNTIF(Schedule!$D$4:$D$34,$A40)+COUNTIF(Schedule!$E$4:$E$34,$A40)+COUNTIF(Schedule!$F$4:$F$34,$A40)</f>
        <v/>
      </c>
      <c r="E40">
        <f>COUNTIF(Schedule!$G$4:$G$34,$A40)+COUNTIF(Schedule!$H$4:$H$34,$A40)</f>
        <v/>
      </c>
      <c r="F40">
        <f>COUNTIF(Schedule!$I$4:$I$34,$A40)+COUNTIF(Schedule!$J$4:$J$34,$A40)</f>
        <v/>
      </c>
      <c r="G40">
        <f>COUNTIF(Schedule!$K$4:$K$34,$A40)</f>
        <v/>
      </c>
      <c r="H40">
        <f>COUNTIF(Schedule!$L$4:$L$34,$A40)</f>
        <v/>
      </c>
      <c r="I40">
        <f>COUNTIF(Schedule!$M$4:$M$34,$A40)</f>
        <v/>
      </c>
      <c r="J40">
        <f>SUM(H40:I40)</f>
        <v/>
      </c>
      <c r="K40">
        <f>IFERROR(IF(B40&lt;=VLOOKUP(TRIM($A40),Personnel!$A:$N,13,0),"OK","ΥΠΕΡΒΑΣΗ"),"!")</f>
        <v/>
      </c>
      <c r="L40">
        <f>IFERROR(IF(C40&lt;=VLOOKUP(TRIM($A40),Personnel!$A:$N,14,0),"OK","ΠΟΛΛΑ ΣΚ"),"!")</f>
        <v/>
      </c>
    </row>
    <row r="41">
      <c r="A41" t="inlineStr">
        <is>
          <t>ΒΑΣΙΛΟΠΟΥΛΟΣ ΧΡΥΣΟΒΑΛΆΝΤΗΣ</t>
        </is>
      </c>
      <c r="B41">
        <f>SUM(D41:G41)</f>
        <v/>
      </c>
      <c r="C41">
        <f>COUNTIFS(Schedule!$A$4:$A$34,"Σάββατο",Schedule!$C$4:$C$34,$A41)+COUNTIFS(Schedule!$A$4:$A$34,"Σάββατο",Schedule!$D$4:$D$34,$A41)+COUNTIFS(Schedule!$A$4:$A$34,"Σάββατο",Schedule!$E$4:$E$34,$A41)+COUNTIFS(Schedule!$A$4:$A$34,"Σάββατο",Schedule!$F$4:$F$34,$A41)+COUNTIFS(Schedule!$A$4:$A$34,"Σάββατο",Schedule!$G$4:$G$34,$A41)+COUNTIFS(Schedule!$A$4:$A$34,"Σάββατο",Schedule!$H$4:$H$34,$A41)+COUNTIFS(Schedule!$A$4:$A$34,"Σάββατο",Schedule!$I$4:$I$34,$A41)+COUNTIFS(Schedule!$A$4:$A$34,"Σάββατο",Schedule!$J$4:$J$34,$A41)+COUNTIFS(Schedule!$A$4:$A$34,"Σάββατο",Schedule!$K$4:$K$34,$A41)+COUNTIFS(Schedule!$A$4:$A$34,"Κυριακή",Schedule!$C$4:$C$34,$A41)+COUNTIFS(Schedule!$A$4:$A$34,"Κυριακή",Schedule!$D$4:$D$34,$A41)+COUNTIFS(Schedule!$A$4:$A$34,"Κυριακή",Schedule!$E$4:$E$34,$A41)+COUNTIFS(Schedule!$A$4:$A$34,"Κυριακή",Schedule!$F$4:$F$34,$A41)+COUNTIFS(Schedule!$A$4:$A$34,"Κυριακή",Schedule!$G$4:$G$34,$A41)+COUNTIFS(Schedule!$A$4:$A$34,"Κυριακή",Schedule!$H$4:$H$34,$A41)+COUNTIFS(Schedule!$A$4:$A$34,"Κυριακή",Schedule!$I$4:$I$34,$A41)+COUNTIFS(Schedule!$A$4:$A$34,"Κυριακή",Schedule!$J$4:$J$34,$A41)+COUNTIFS(Schedule!$A$4:$A$34,"Κυριακή",Schedule!$K$4:$K$34,$A41)</f>
        <v/>
      </c>
      <c r="D41">
        <f>COUNTIF(Schedule!$C$4:$C$34,$A41)+COUNTIF(Schedule!$D$4:$D$34,$A41)+COUNTIF(Schedule!$E$4:$E$34,$A41)+COUNTIF(Schedule!$F$4:$F$34,$A41)</f>
        <v/>
      </c>
      <c r="E41">
        <f>COUNTIF(Schedule!$G$4:$G$34,$A41)+COUNTIF(Schedule!$H$4:$H$34,$A41)</f>
        <v/>
      </c>
      <c r="F41">
        <f>COUNTIF(Schedule!$I$4:$I$34,$A41)+COUNTIF(Schedule!$J$4:$J$34,$A41)</f>
        <v/>
      </c>
      <c r="G41">
        <f>COUNTIF(Schedule!$K$4:$K$34,$A41)</f>
        <v/>
      </c>
      <c r="H41">
        <f>COUNTIF(Schedule!$L$4:$L$34,$A41)</f>
        <v/>
      </c>
      <c r="I41">
        <f>COUNTIF(Schedule!$M$4:$M$34,$A41)</f>
        <v/>
      </c>
      <c r="J41">
        <f>SUM(H41:I41)</f>
        <v/>
      </c>
      <c r="K41">
        <f>IFERROR(IF(B41&lt;=VLOOKUP(TRIM($A41),Personnel!$A:$N,13,0),"OK","ΥΠΕΡΒΑΣΗ"),"!")</f>
        <v/>
      </c>
      <c r="L41">
        <f>IFERROR(IF(C41&lt;=VLOOKUP(TRIM($A41),Personnel!$A:$N,14,0),"OK","ΠΟΛΛΑ ΣΚ"),"!")</f>
        <v/>
      </c>
    </row>
    <row r="42">
      <c r="A42" t="inlineStr">
        <is>
          <t>ΚΑΠΕΤΑΝΟΥ ΑΛΕΞΑΝΔΡΟΣ (1 ΥΠ ΤΟΝ ΕΝΑ ΜΗΝΑ / 2 ΥΠ ΤΟΝ ΕΠΟΜΕΝΟ ΚΑΙ ΕΝΑΛΑΞ)</t>
        </is>
      </c>
      <c r="B42">
        <f>SUM(D42:G42)</f>
        <v/>
      </c>
      <c r="C42">
        <f>COUNTIFS(Schedule!$A$4:$A$34,"Σάββατο",Schedule!$C$4:$C$34,$A42)+COUNTIFS(Schedule!$A$4:$A$34,"Σάββατο",Schedule!$D$4:$D$34,$A42)+COUNTIFS(Schedule!$A$4:$A$34,"Σάββατο",Schedule!$E$4:$E$34,$A42)+COUNTIFS(Schedule!$A$4:$A$34,"Σάββατο",Schedule!$F$4:$F$34,$A42)+COUNTIFS(Schedule!$A$4:$A$34,"Σάββατο",Schedule!$G$4:$G$34,$A42)+COUNTIFS(Schedule!$A$4:$A$34,"Σάββατο",Schedule!$H$4:$H$34,$A42)+COUNTIFS(Schedule!$A$4:$A$34,"Σάββατο",Schedule!$I$4:$I$34,$A42)+COUNTIFS(Schedule!$A$4:$A$34,"Σάββατο",Schedule!$J$4:$J$34,$A42)+COUNTIFS(Schedule!$A$4:$A$34,"Σάββατο",Schedule!$K$4:$K$34,$A42)+COUNTIFS(Schedule!$A$4:$A$34,"Κυριακή",Schedule!$C$4:$C$34,$A42)+COUNTIFS(Schedule!$A$4:$A$34,"Κυριακή",Schedule!$D$4:$D$34,$A42)+COUNTIFS(Schedule!$A$4:$A$34,"Κυριακή",Schedule!$E$4:$E$34,$A42)+COUNTIFS(Schedule!$A$4:$A$34,"Κυριακή",Schedule!$F$4:$F$34,$A42)+COUNTIFS(Schedule!$A$4:$A$34,"Κυριακή",Schedule!$G$4:$G$34,$A42)+COUNTIFS(Schedule!$A$4:$A$34,"Κυριακή",Schedule!$H$4:$H$34,$A42)+COUNTIFS(Schedule!$A$4:$A$34,"Κυριακή",Schedule!$I$4:$I$34,$A42)+COUNTIFS(Schedule!$A$4:$A$34,"Κυριακή",Schedule!$J$4:$J$34,$A42)+COUNTIFS(Schedule!$A$4:$A$34,"Κυριακή",Schedule!$K$4:$K$34,$A42)</f>
        <v/>
      </c>
      <c r="D42">
        <f>COUNTIF(Schedule!$C$4:$C$34,$A42)+COUNTIF(Schedule!$D$4:$D$34,$A42)+COUNTIF(Schedule!$E$4:$E$34,$A42)+COUNTIF(Schedule!$F$4:$F$34,$A42)</f>
        <v/>
      </c>
      <c r="E42">
        <f>COUNTIF(Schedule!$G$4:$G$34,$A42)+COUNTIF(Schedule!$H$4:$H$34,$A42)</f>
        <v/>
      </c>
      <c r="F42">
        <f>COUNTIF(Schedule!$I$4:$I$34,$A42)+COUNTIF(Schedule!$J$4:$J$34,$A42)</f>
        <v/>
      </c>
      <c r="G42">
        <f>COUNTIF(Schedule!$K$4:$K$34,$A42)</f>
        <v/>
      </c>
      <c r="H42">
        <f>COUNTIF(Schedule!$L$4:$L$34,$A42)</f>
        <v/>
      </c>
      <c r="I42">
        <f>COUNTIF(Schedule!$M$4:$M$34,$A42)</f>
        <v/>
      </c>
      <c r="J42">
        <f>SUM(H42:I42)</f>
        <v/>
      </c>
      <c r="K42">
        <f>IFERROR(IF(B42&lt;=VLOOKUP(TRIM($A42),Personnel!$A:$N,13,0),"OK","ΥΠΕΡΒΑΣΗ"),"!")</f>
        <v/>
      </c>
      <c r="L42">
        <f>IFERROR(IF(C42&lt;=VLOOKUP(TRIM($A42),Personnel!$A:$N,14,0),"OK","ΠΟΛΛΑ ΣΚ"),"!")</f>
        <v/>
      </c>
    </row>
    <row r="43">
      <c r="A43" t="inlineStr">
        <is>
          <t>ΧΑΤΖΗΓΕΩΡΓΙΟΥ ΔΗΜΗΤΡΙΟΣ</t>
        </is>
      </c>
      <c r="B43">
        <f>SUM(D43:G43)</f>
        <v/>
      </c>
      <c r="C43">
        <f>COUNTIFS(Schedule!$A$4:$A$34,"Σάββατο",Schedule!$C$4:$C$34,$A43)+COUNTIFS(Schedule!$A$4:$A$34,"Σάββατο",Schedule!$D$4:$D$34,$A43)+COUNTIFS(Schedule!$A$4:$A$34,"Σάββατο",Schedule!$E$4:$E$34,$A43)+COUNTIFS(Schedule!$A$4:$A$34,"Σάββατο",Schedule!$F$4:$F$34,$A43)+COUNTIFS(Schedule!$A$4:$A$34,"Σάββατο",Schedule!$G$4:$G$34,$A43)+COUNTIFS(Schedule!$A$4:$A$34,"Σάββατο",Schedule!$H$4:$H$34,$A43)+COUNTIFS(Schedule!$A$4:$A$34,"Σάββατο",Schedule!$I$4:$I$34,$A43)+COUNTIFS(Schedule!$A$4:$A$34,"Σάββατο",Schedule!$J$4:$J$34,$A43)+COUNTIFS(Schedule!$A$4:$A$34,"Σάββατο",Schedule!$K$4:$K$34,$A43)+COUNTIFS(Schedule!$A$4:$A$34,"Κυριακή",Schedule!$C$4:$C$34,$A43)+COUNTIFS(Schedule!$A$4:$A$34,"Κυριακή",Schedule!$D$4:$D$34,$A43)+COUNTIFS(Schedule!$A$4:$A$34,"Κυριακή",Schedule!$E$4:$E$34,$A43)+COUNTIFS(Schedule!$A$4:$A$34,"Κυριακή",Schedule!$F$4:$F$34,$A43)+COUNTIFS(Schedule!$A$4:$A$34,"Κυριακή",Schedule!$G$4:$G$34,$A43)+COUNTIFS(Schedule!$A$4:$A$34,"Κυριακή",Schedule!$H$4:$H$34,$A43)+COUNTIFS(Schedule!$A$4:$A$34,"Κυριακή",Schedule!$I$4:$I$34,$A43)+COUNTIFS(Schedule!$A$4:$A$34,"Κυριακή",Schedule!$J$4:$J$34,$A43)+COUNTIFS(Schedule!$A$4:$A$34,"Κυριακή",Schedule!$K$4:$K$34,$A43)</f>
        <v/>
      </c>
      <c r="D43">
        <f>COUNTIF(Schedule!$C$4:$C$34,$A43)+COUNTIF(Schedule!$D$4:$D$34,$A43)+COUNTIF(Schedule!$E$4:$E$34,$A43)+COUNTIF(Schedule!$F$4:$F$34,$A43)</f>
        <v/>
      </c>
      <c r="E43">
        <f>COUNTIF(Schedule!$G$4:$G$34,$A43)+COUNTIF(Schedule!$H$4:$H$34,$A43)</f>
        <v/>
      </c>
      <c r="F43">
        <f>COUNTIF(Schedule!$I$4:$I$34,$A43)+COUNTIF(Schedule!$J$4:$J$34,$A43)</f>
        <v/>
      </c>
      <c r="G43">
        <f>COUNTIF(Schedule!$K$4:$K$34,$A43)</f>
        <v/>
      </c>
      <c r="H43">
        <f>COUNTIF(Schedule!$L$4:$L$34,$A43)</f>
        <v/>
      </c>
      <c r="I43">
        <f>COUNTIF(Schedule!$M$4:$M$34,$A43)</f>
        <v/>
      </c>
      <c r="J43">
        <f>SUM(H43:I43)</f>
        <v/>
      </c>
      <c r="K43">
        <f>IFERROR(IF(B43&lt;=VLOOKUP(TRIM($A43),Personnel!$A:$N,13,0),"OK","ΥΠΕΡΒΑΣΗ"),"!")</f>
        <v/>
      </c>
      <c r="L43">
        <f>IFERROR(IF(C43&lt;=VLOOKUP(TRIM($A43),Personnel!$A:$N,14,0),"OK","ΠΟΛΛΑ ΣΚ"),"!")</f>
        <v/>
      </c>
    </row>
    <row r="44">
      <c r="A44" t="inlineStr">
        <is>
          <t>ΑΚΡΙΒΟΣ ΝΙΚΟΛΑΟΣ</t>
        </is>
      </c>
      <c r="B44">
        <f>SUM(D44:G44)</f>
        <v/>
      </c>
      <c r="C44">
        <f>COUNTIFS(Schedule!$A$4:$A$34,"Σάββατο",Schedule!$C$4:$C$34,$A44)+COUNTIFS(Schedule!$A$4:$A$34,"Σάββατο",Schedule!$D$4:$D$34,$A44)+COUNTIFS(Schedule!$A$4:$A$34,"Σάββατο",Schedule!$E$4:$E$34,$A44)+COUNTIFS(Schedule!$A$4:$A$34,"Σάββατο",Schedule!$F$4:$F$34,$A44)+COUNTIFS(Schedule!$A$4:$A$34,"Σάββατο",Schedule!$G$4:$G$34,$A44)+COUNTIFS(Schedule!$A$4:$A$34,"Σάββατο",Schedule!$H$4:$H$34,$A44)+COUNTIFS(Schedule!$A$4:$A$34,"Σάββατο",Schedule!$I$4:$I$34,$A44)+COUNTIFS(Schedule!$A$4:$A$34,"Σάββατο",Schedule!$J$4:$J$34,$A44)+COUNTIFS(Schedule!$A$4:$A$34,"Σάββατο",Schedule!$K$4:$K$34,$A44)+COUNTIFS(Schedule!$A$4:$A$34,"Κυριακή",Schedule!$C$4:$C$34,$A44)+COUNTIFS(Schedule!$A$4:$A$34,"Κυριακή",Schedule!$D$4:$D$34,$A44)+COUNTIFS(Schedule!$A$4:$A$34,"Κυριακή",Schedule!$E$4:$E$34,$A44)+COUNTIFS(Schedule!$A$4:$A$34,"Κυριακή",Schedule!$F$4:$F$34,$A44)+COUNTIFS(Schedule!$A$4:$A$34,"Κυριακή",Schedule!$G$4:$G$34,$A44)+COUNTIFS(Schedule!$A$4:$A$34,"Κυριακή",Schedule!$H$4:$H$34,$A44)+COUNTIFS(Schedule!$A$4:$A$34,"Κυριακή",Schedule!$I$4:$I$34,$A44)+COUNTIFS(Schedule!$A$4:$A$34,"Κυριακή",Schedule!$J$4:$J$34,$A44)+COUNTIFS(Schedule!$A$4:$A$34,"Κυριακή",Schedule!$K$4:$K$34,$A44)</f>
        <v/>
      </c>
      <c r="D44">
        <f>COUNTIF(Schedule!$C$4:$C$34,$A44)+COUNTIF(Schedule!$D$4:$D$34,$A44)+COUNTIF(Schedule!$E$4:$E$34,$A44)+COUNTIF(Schedule!$F$4:$F$34,$A44)</f>
        <v/>
      </c>
      <c r="E44">
        <f>COUNTIF(Schedule!$G$4:$G$34,$A44)+COUNTIF(Schedule!$H$4:$H$34,$A44)</f>
        <v/>
      </c>
      <c r="F44">
        <f>COUNTIF(Schedule!$I$4:$I$34,$A44)+COUNTIF(Schedule!$J$4:$J$34,$A44)</f>
        <v/>
      </c>
      <c r="G44">
        <f>COUNTIF(Schedule!$K$4:$K$34,$A44)</f>
        <v/>
      </c>
      <c r="H44">
        <f>COUNTIF(Schedule!$L$4:$L$34,$A44)</f>
        <v/>
      </c>
      <c r="I44">
        <f>COUNTIF(Schedule!$M$4:$M$34,$A44)</f>
        <v/>
      </c>
      <c r="J44">
        <f>SUM(H44:I44)</f>
        <v/>
      </c>
      <c r="K44">
        <f>IFERROR(IF(B44&lt;=VLOOKUP(TRIM($A44),Personnel!$A:$N,13,0),"OK","ΥΠΕΡΒΑΣΗ"),"!")</f>
        <v/>
      </c>
      <c r="L44">
        <f>IFERROR(IF(C44&lt;=VLOOKUP(TRIM($A44),Personnel!$A:$N,14,0),"OK","ΠΟΛΛΑ ΣΚ"),"!")</f>
        <v/>
      </c>
    </row>
    <row r="45">
      <c r="A45" t="inlineStr">
        <is>
          <t>ΜΑΝΩΛΟΥΔΗΣ ΣΠΥΡΙΔΩΝ</t>
        </is>
      </c>
      <c r="B45">
        <f>SUM(D45:G45)</f>
        <v/>
      </c>
      <c r="C45">
        <f>COUNTIFS(Schedule!$A$4:$A$34,"Σάββατο",Schedule!$C$4:$C$34,$A45)+COUNTIFS(Schedule!$A$4:$A$34,"Σάββατο",Schedule!$D$4:$D$34,$A45)+COUNTIFS(Schedule!$A$4:$A$34,"Σάββατο",Schedule!$E$4:$E$34,$A45)+COUNTIFS(Schedule!$A$4:$A$34,"Σάββατο",Schedule!$F$4:$F$34,$A45)+COUNTIFS(Schedule!$A$4:$A$34,"Σάββατο",Schedule!$G$4:$G$34,$A45)+COUNTIFS(Schedule!$A$4:$A$34,"Σάββατο",Schedule!$H$4:$H$34,$A45)+COUNTIFS(Schedule!$A$4:$A$34,"Σάββατο",Schedule!$I$4:$I$34,$A45)+COUNTIFS(Schedule!$A$4:$A$34,"Σάββατο",Schedule!$J$4:$J$34,$A45)+COUNTIFS(Schedule!$A$4:$A$34,"Σάββατο",Schedule!$K$4:$K$34,$A45)+COUNTIFS(Schedule!$A$4:$A$34,"Κυριακή",Schedule!$C$4:$C$34,$A45)+COUNTIFS(Schedule!$A$4:$A$34,"Κυριακή",Schedule!$D$4:$D$34,$A45)+COUNTIFS(Schedule!$A$4:$A$34,"Κυριακή",Schedule!$E$4:$E$34,$A45)+COUNTIFS(Schedule!$A$4:$A$34,"Κυριακή",Schedule!$F$4:$F$34,$A45)+COUNTIFS(Schedule!$A$4:$A$34,"Κυριακή",Schedule!$G$4:$G$34,$A45)+COUNTIFS(Schedule!$A$4:$A$34,"Κυριακή",Schedule!$H$4:$H$34,$A45)+COUNTIFS(Schedule!$A$4:$A$34,"Κυριακή",Schedule!$I$4:$I$34,$A45)+COUNTIFS(Schedule!$A$4:$A$34,"Κυριακή",Schedule!$J$4:$J$34,$A45)+COUNTIFS(Schedule!$A$4:$A$34,"Κυριακή",Schedule!$K$4:$K$34,$A45)</f>
        <v/>
      </c>
      <c r="D45">
        <f>COUNTIF(Schedule!$C$4:$C$34,$A45)+COUNTIF(Schedule!$D$4:$D$34,$A45)+COUNTIF(Schedule!$E$4:$E$34,$A45)+COUNTIF(Schedule!$F$4:$F$34,$A45)</f>
        <v/>
      </c>
      <c r="E45">
        <f>COUNTIF(Schedule!$G$4:$G$34,$A45)+COUNTIF(Schedule!$H$4:$H$34,$A45)</f>
        <v/>
      </c>
      <c r="F45">
        <f>COUNTIF(Schedule!$I$4:$I$34,$A45)+COUNTIF(Schedule!$J$4:$J$34,$A45)</f>
        <v/>
      </c>
      <c r="G45">
        <f>COUNTIF(Schedule!$K$4:$K$34,$A45)</f>
        <v/>
      </c>
      <c r="H45">
        <f>COUNTIF(Schedule!$L$4:$L$34,$A45)</f>
        <v/>
      </c>
      <c r="I45">
        <f>COUNTIF(Schedule!$M$4:$M$34,$A45)</f>
        <v/>
      </c>
      <c r="J45">
        <f>SUM(H45:I45)</f>
        <v/>
      </c>
      <c r="K45">
        <f>IFERROR(IF(B45&lt;=VLOOKUP(TRIM($A45),Personnel!$A:$N,13,0),"OK","ΥΠΕΡΒΑΣΗ"),"!")</f>
        <v/>
      </c>
      <c r="L45">
        <f>IFERROR(IF(C45&lt;=VLOOKUP(TRIM($A45),Personnel!$A:$N,14,0),"OK","ΠΟΛΛΑ ΣΚ"),"!")</f>
        <v/>
      </c>
    </row>
    <row r="46">
      <c r="A46" t="inlineStr">
        <is>
          <t>ΝΑΥΤΗΣ ΑΝΑΣΤΑΣΙΟΣ (Ι4 ΒΑΥΔΜ)</t>
        </is>
      </c>
      <c r="B46">
        <f>SUM(D46:G46)</f>
        <v/>
      </c>
      <c r="C46">
        <f>COUNTIFS(Schedule!$A$4:$A$34,"Σάββατο",Schedule!$C$4:$C$34,$A46)+COUNTIFS(Schedule!$A$4:$A$34,"Σάββατο",Schedule!$D$4:$D$34,$A46)+COUNTIFS(Schedule!$A$4:$A$34,"Σάββατο",Schedule!$E$4:$E$34,$A46)+COUNTIFS(Schedule!$A$4:$A$34,"Σάββατο",Schedule!$F$4:$F$34,$A46)+COUNTIFS(Schedule!$A$4:$A$34,"Σάββατο",Schedule!$G$4:$G$34,$A46)+COUNTIFS(Schedule!$A$4:$A$34,"Σάββατο",Schedule!$H$4:$H$34,$A46)+COUNTIFS(Schedule!$A$4:$A$34,"Σάββατο",Schedule!$I$4:$I$34,$A46)+COUNTIFS(Schedule!$A$4:$A$34,"Σάββατο",Schedule!$J$4:$J$34,$A46)+COUNTIFS(Schedule!$A$4:$A$34,"Σάββατο",Schedule!$K$4:$K$34,$A46)+COUNTIFS(Schedule!$A$4:$A$34,"Κυριακή",Schedule!$C$4:$C$34,$A46)+COUNTIFS(Schedule!$A$4:$A$34,"Κυριακή",Schedule!$D$4:$D$34,$A46)+COUNTIFS(Schedule!$A$4:$A$34,"Κυριακή",Schedule!$E$4:$E$34,$A46)+COUNTIFS(Schedule!$A$4:$A$34,"Κυριακή",Schedule!$F$4:$F$34,$A46)+COUNTIFS(Schedule!$A$4:$A$34,"Κυριακή",Schedule!$G$4:$G$34,$A46)+COUNTIFS(Schedule!$A$4:$A$34,"Κυριακή",Schedule!$H$4:$H$34,$A46)+COUNTIFS(Schedule!$A$4:$A$34,"Κυριακή",Schedule!$I$4:$I$34,$A46)+COUNTIFS(Schedule!$A$4:$A$34,"Κυριακή",Schedule!$J$4:$J$34,$A46)+COUNTIFS(Schedule!$A$4:$A$34,"Κυριακή",Schedule!$K$4:$K$34,$A46)</f>
        <v/>
      </c>
      <c r="D46">
        <f>COUNTIF(Schedule!$C$4:$C$34,$A46)+COUNTIF(Schedule!$D$4:$D$34,$A46)+COUNTIF(Schedule!$E$4:$E$34,$A46)+COUNTIF(Schedule!$F$4:$F$34,$A46)</f>
        <v/>
      </c>
      <c r="E46">
        <f>COUNTIF(Schedule!$G$4:$G$34,$A46)+COUNTIF(Schedule!$H$4:$H$34,$A46)</f>
        <v/>
      </c>
      <c r="F46">
        <f>COUNTIF(Schedule!$I$4:$I$34,$A46)+COUNTIF(Schedule!$J$4:$J$34,$A46)</f>
        <v/>
      </c>
      <c r="G46">
        <f>COUNTIF(Schedule!$K$4:$K$34,$A46)</f>
        <v/>
      </c>
      <c r="H46">
        <f>COUNTIF(Schedule!$L$4:$L$34,$A46)</f>
        <v/>
      </c>
      <c r="I46">
        <f>COUNTIF(Schedule!$M$4:$M$34,$A46)</f>
        <v/>
      </c>
      <c r="J46">
        <f>SUM(H46:I46)</f>
        <v/>
      </c>
      <c r="K46">
        <f>IFERROR(IF(B46&lt;=VLOOKUP(TRIM($A46),Personnel!$A:$N,13,0),"OK","ΥΠΕΡΒΑΣΗ"),"!")</f>
        <v/>
      </c>
      <c r="L46">
        <f>IFERROR(IF(C46&lt;=VLOOKUP(TRIM($A46),Personnel!$A:$N,14,0),"OK","ΠΟΛΛΑ ΣΚ"),"!")</f>
        <v/>
      </c>
    </row>
    <row r="47">
      <c r="A47" t="inlineStr">
        <is>
          <t>ΔΑΣΟΥΛΑΣ ΓΕΩΡΓΙΟΣ</t>
        </is>
      </c>
      <c r="B47">
        <f>SUM(D47:G47)</f>
        <v/>
      </c>
      <c r="C47">
        <f>COUNTIFS(Schedule!$A$4:$A$34,"Σάββατο",Schedule!$C$4:$C$34,$A47)+COUNTIFS(Schedule!$A$4:$A$34,"Σάββατο",Schedule!$D$4:$D$34,$A47)+COUNTIFS(Schedule!$A$4:$A$34,"Σάββατο",Schedule!$E$4:$E$34,$A47)+COUNTIFS(Schedule!$A$4:$A$34,"Σάββατο",Schedule!$F$4:$F$34,$A47)+COUNTIFS(Schedule!$A$4:$A$34,"Σάββατο",Schedule!$G$4:$G$34,$A47)+COUNTIFS(Schedule!$A$4:$A$34,"Σάββατο",Schedule!$H$4:$H$34,$A47)+COUNTIFS(Schedule!$A$4:$A$34,"Σάββατο",Schedule!$I$4:$I$34,$A47)+COUNTIFS(Schedule!$A$4:$A$34,"Σάββατο",Schedule!$J$4:$J$34,$A47)+COUNTIFS(Schedule!$A$4:$A$34,"Σάββατο",Schedule!$K$4:$K$34,$A47)+COUNTIFS(Schedule!$A$4:$A$34,"Κυριακή",Schedule!$C$4:$C$34,$A47)+COUNTIFS(Schedule!$A$4:$A$34,"Κυριακή",Schedule!$D$4:$D$34,$A47)+COUNTIFS(Schedule!$A$4:$A$34,"Κυριακή",Schedule!$E$4:$E$34,$A47)+COUNTIFS(Schedule!$A$4:$A$34,"Κυριακή",Schedule!$F$4:$F$34,$A47)+COUNTIFS(Schedule!$A$4:$A$34,"Κυριακή",Schedule!$G$4:$G$34,$A47)+COUNTIFS(Schedule!$A$4:$A$34,"Κυριακή",Schedule!$H$4:$H$34,$A47)+COUNTIFS(Schedule!$A$4:$A$34,"Κυριακή",Schedule!$I$4:$I$34,$A47)+COUNTIFS(Schedule!$A$4:$A$34,"Κυριακή",Schedule!$J$4:$J$34,$A47)+COUNTIFS(Schedule!$A$4:$A$34,"Κυριακή",Schedule!$K$4:$K$34,$A47)</f>
        <v/>
      </c>
      <c r="D47">
        <f>COUNTIF(Schedule!$C$4:$C$34,$A47)+COUNTIF(Schedule!$D$4:$D$34,$A47)+COUNTIF(Schedule!$E$4:$E$34,$A47)+COUNTIF(Schedule!$F$4:$F$34,$A47)</f>
        <v/>
      </c>
      <c r="E47">
        <f>COUNTIF(Schedule!$G$4:$G$34,$A47)+COUNTIF(Schedule!$H$4:$H$34,$A47)</f>
        <v/>
      </c>
      <c r="F47">
        <f>COUNTIF(Schedule!$I$4:$I$34,$A47)+COUNTIF(Schedule!$J$4:$J$34,$A47)</f>
        <v/>
      </c>
      <c r="G47">
        <f>COUNTIF(Schedule!$K$4:$K$34,$A47)</f>
        <v/>
      </c>
      <c r="H47">
        <f>COUNTIF(Schedule!$L$4:$L$34,$A47)</f>
        <v/>
      </c>
      <c r="I47">
        <f>COUNTIF(Schedule!$M$4:$M$34,$A47)</f>
        <v/>
      </c>
      <c r="J47">
        <f>SUM(H47:I47)</f>
        <v/>
      </c>
      <c r="K47">
        <f>IFERROR(IF(B47&lt;=VLOOKUP(TRIM($A47),Personnel!$A:$N,13,0),"OK","ΥΠΕΡΒΑΣΗ"),"!")</f>
        <v/>
      </c>
      <c r="L47">
        <f>IFERROR(IF(C47&lt;=VLOOKUP(TRIM($A47),Personnel!$A:$N,14,0),"OK","ΠΟΛΛΑ ΣΚ"),"!")</f>
        <v/>
      </c>
    </row>
    <row r="48">
      <c r="A48" t="inlineStr">
        <is>
          <t>ΠΑΣΤΡΑΣ ΑΓΓΕΛΟΣ (ΒΑΥΔΜ)</t>
        </is>
      </c>
      <c r="B48">
        <f>SUM(D48:G48)</f>
        <v/>
      </c>
      <c r="C48">
        <f>COUNTIFS(Schedule!$A$4:$A$34,"Σάββατο",Schedule!$C$4:$C$34,$A48)+COUNTIFS(Schedule!$A$4:$A$34,"Σάββατο",Schedule!$D$4:$D$34,$A48)+COUNTIFS(Schedule!$A$4:$A$34,"Σάββατο",Schedule!$E$4:$E$34,$A48)+COUNTIFS(Schedule!$A$4:$A$34,"Σάββατο",Schedule!$F$4:$F$34,$A48)+COUNTIFS(Schedule!$A$4:$A$34,"Σάββατο",Schedule!$G$4:$G$34,$A48)+COUNTIFS(Schedule!$A$4:$A$34,"Σάββατο",Schedule!$H$4:$H$34,$A48)+COUNTIFS(Schedule!$A$4:$A$34,"Σάββατο",Schedule!$I$4:$I$34,$A48)+COUNTIFS(Schedule!$A$4:$A$34,"Σάββατο",Schedule!$J$4:$J$34,$A48)+COUNTIFS(Schedule!$A$4:$A$34,"Σάββατο",Schedule!$K$4:$K$34,$A48)+COUNTIFS(Schedule!$A$4:$A$34,"Κυριακή",Schedule!$C$4:$C$34,$A48)+COUNTIFS(Schedule!$A$4:$A$34,"Κυριακή",Schedule!$D$4:$D$34,$A48)+COUNTIFS(Schedule!$A$4:$A$34,"Κυριακή",Schedule!$E$4:$E$34,$A48)+COUNTIFS(Schedule!$A$4:$A$34,"Κυριακή",Schedule!$F$4:$F$34,$A48)+COUNTIFS(Schedule!$A$4:$A$34,"Κυριακή",Schedule!$G$4:$G$34,$A48)+COUNTIFS(Schedule!$A$4:$A$34,"Κυριακή",Schedule!$H$4:$H$34,$A48)+COUNTIFS(Schedule!$A$4:$A$34,"Κυριακή",Schedule!$I$4:$I$34,$A48)+COUNTIFS(Schedule!$A$4:$A$34,"Κυριακή",Schedule!$J$4:$J$34,$A48)+COUNTIFS(Schedule!$A$4:$A$34,"Κυριακή",Schedule!$K$4:$K$34,$A48)</f>
        <v/>
      </c>
      <c r="D48">
        <f>COUNTIF(Schedule!$C$4:$C$34,$A48)+COUNTIF(Schedule!$D$4:$D$34,$A48)+COUNTIF(Schedule!$E$4:$E$34,$A48)+COUNTIF(Schedule!$F$4:$F$34,$A48)</f>
        <v/>
      </c>
      <c r="E48">
        <f>COUNTIF(Schedule!$G$4:$G$34,$A48)+COUNTIF(Schedule!$H$4:$H$34,$A48)</f>
        <v/>
      </c>
      <c r="F48">
        <f>COUNTIF(Schedule!$I$4:$I$34,$A48)+COUNTIF(Schedule!$J$4:$J$34,$A48)</f>
        <v/>
      </c>
      <c r="G48">
        <f>COUNTIF(Schedule!$K$4:$K$34,$A48)</f>
        <v/>
      </c>
      <c r="H48">
        <f>COUNTIF(Schedule!$L$4:$L$34,$A48)</f>
        <v/>
      </c>
      <c r="I48">
        <f>COUNTIF(Schedule!$M$4:$M$34,$A48)</f>
        <v/>
      </c>
      <c r="J48">
        <f>SUM(H48:I48)</f>
        <v/>
      </c>
      <c r="K48">
        <f>IFERROR(IF(B48&lt;=VLOOKUP(TRIM($A48),Personnel!$A:$N,13,0),"OK","ΥΠΕΡΒΑΣΗ"),"!")</f>
        <v/>
      </c>
      <c r="L48">
        <f>IFERROR(IF(C48&lt;=VLOOKUP(TRIM($A48),Personnel!$A:$N,14,0),"OK","ΠΟΛΛΑ ΣΚ"),"!")</f>
        <v/>
      </c>
    </row>
    <row r="49">
      <c r="A49" t="inlineStr">
        <is>
          <t>ΤΡΙΑΝΤΑΦΥΛΛΟΥ ΦΡΑΓΚΙΣΚΟΣ</t>
        </is>
      </c>
      <c r="B49">
        <f>SUM(D49:G49)</f>
        <v/>
      </c>
      <c r="C49">
        <f>COUNTIFS(Schedule!$A$4:$A$34,"Σάββατο",Schedule!$C$4:$C$34,$A49)+COUNTIFS(Schedule!$A$4:$A$34,"Σάββατο",Schedule!$D$4:$D$34,$A49)+COUNTIFS(Schedule!$A$4:$A$34,"Σάββατο",Schedule!$E$4:$E$34,$A49)+COUNTIFS(Schedule!$A$4:$A$34,"Σάββατο",Schedule!$F$4:$F$34,$A49)+COUNTIFS(Schedule!$A$4:$A$34,"Σάββατο",Schedule!$G$4:$G$34,$A49)+COUNTIFS(Schedule!$A$4:$A$34,"Σάββατο",Schedule!$H$4:$H$34,$A49)+COUNTIFS(Schedule!$A$4:$A$34,"Σάββατο",Schedule!$I$4:$I$34,$A49)+COUNTIFS(Schedule!$A$4:$A$34,"Σάββατο",Schedule!$J$4:$J$34,$A49)+COUNTIFS(Schedule!$A$4:$A$34,"Σάββατο",Schedule!$K$4:$K$34,$A49)+COUNTIFS(Schedule!$A$4:$A$34,"Κυριακή",Schedule!$C$4:$C$34,$A49)+COUNTIFS(Schedule!$A$4:$A$34,"Κυριακή",Schedule!$D$4:$D$34,$A49)+COUNTIFS(Schedule!$A$4:$A$34,"Κυριακή",Schedule!$E$4:$E$34,$A49)+COUNTIFS(Schedule!$A$4:$A$34,"Κυριακή",Schedule!$F$4:$F$34,$A49)+COUNTIFS(Schedule!$A$4:$A$34,"Κυριακή",Schedule!$G$4:$G$34,$A49)+COUNTIFS(Schedule!$A$4:$A$34,"Κυριακή",Schedule!$H$4:$H$34,$A49)+COUNTIFS(Schedule!$A$4:$A$34,"Κυριακή",Schedule!$I$4:$I$34,$A49)+COUNTIFS(Schedule!$A$4:$A$34,"Κυριακή",Schedule!$J$4:$J$34,$A49)+COUNTIFS(Schedule!$A$4:$A$34,"Κυριακή",Schedule!$K$4:$K$34,$A49)</f>
        <v/>
      </c>
      <c r="D49">
        <f>COUNTIF(Schedule!$C$4:$C$34,$A49)+COUNTIF(Schedule!$D$4:$D$34,$A49)+COUNTIF(Schedule!$E$4:$E$34,$A49)+COUNTIF(Schedule!$F$4:$F$34,$A49)</f>
        <v/>
      </c>
      <c r="E49">
        <f>COUNTIF(Schedule!$G$4:$G$34,$A49)+COUNTIF(Schedule!$H$4:$H$34,$A49)</f>
        <v/>
      </c>
      <c r="F49">
        <f>COUNTIF(Schedule!$I$4:$I$34,$A49)+COUNTIF(Schedule!$J$4:$J$34,$A49)</f>
        <v/>
      </c>
      <c r="G49">
        <f>COUNTIF(Schedule!$K$4:$K$34,$A49)</f>
        <v/>
      </c>
      <c r="H49">
        <f>COUNTIF(Schedule!$L$4:$L$34,$A49)</f>
        <v/>
      </c>
      <c r="I49">
        <f>COUNTIF(Schedule!$M$4:$M$34,$A49)</f>
        <v/>
      </c>
      <c r="J49">
        <f>SUM(H49:I49)</f>
        <v/>
      </c>
      <c r="K49">
        <f>IFERROR(IF(B49&lt;=VLOOKUP(TRIM($A49),Personnel!$A:$N,13,0),"OK","ΥΠΕΡΒΑΣΗ"),"!")</f>
        <v/>
      </c>
      <c r="L49">
        <f>IFERROR(IF(C49&lt;=VLOOKUP(TRIM($A49),Personnel!$A:$N,14,0),"OK","ΠΟΛΛΑ ΣΚ"),"!")</f>
        <v/>
      </c>
    </row>
    <row r="50">
      <c r="A50" t="inlineStr">
        <is>
          <t>ΧΑΛΙΜΟΥΡΔΑΣ ΚΩΝΣΤΑΝΤΙΝΟΣ</t>
        </is>
      </c>
      <c r="B50">
        <f>SUM(D50:G50)</f>
        <v/>
      </c>
      <c r="C50">
        <f>COUNTIFS(Schedule!$A$4:$A$34,"Σάββατο",Schedule!$C$4:$C$34,$A50)+COUNTIFS(Schedule!$A$4:$A$34,"Σάββατο",Schedule!$D$4:$D$34,$A50)+COUNTIFS(Schedule!$A$4:$A$34,"Σάββατο",Schedule!$E$4:$E$34,$A50)+COUNTIFS(Schedule!$A$4:$A$34,"Σάββατο",Schedule!$F$4:$F$34,$A50)+COUNTIFS(Schedule!$A$4:$A$34,"Σάββατο",Schedule!$G$4:$G$34,$A50)+COUNTIFS(Schedule!$A$4:$A$34,"Σάββατο",Schedule!$H$4:$H$34,$A50)+COUNTIFS(Schedule!$A$4:$A$34,"Σάββατο",Schedule!$I$4:$I$34,$A50)+COUNTIFS(Schedule!$A$4:$A$34,"Σάββατο",Schedule!$J$4:$J$34,$A50)+COUNTIFS(Schedule!$A$4:$A$34,"Σάββατο",Schedule!$K$4:$K$34,$A50)+COUNTIFS(Schedule!$A$4:$A$34,"Κυριακή",Schedule!$C$4:$C$34,$A50)+COUNTIFS(Schedule!$A$4:$A$34,"Κυριακή",Schedule!$D$4:$D$34,$A50)+COUNTIFS(Schedule!$A$4:$A$34,"Κυριακή",Schedule!$E$4:$E$34,$A50)+COUNTIFS(Schedule!$A$4:$A$34,"Κυριακή",Schedule!$F$4:$F$34,$A50)+COUNTIFS(Schedule!$A$4:$A$34,"Κυριακή",Schedule!$G$4:$G$34,$A50)+COUNTIFS(Schedule!$A$4:$A$34,"Κυριακή",Schedule!$H$4:$H$34,$A50)+COUNTIFS(Schedule!$A$4:$A$34,"Κυριακή",Schedule!$I$4:$I$34,$A50)+COUNTIFS(Schedule!$A$4:$A$34,"Κυριακή",Schedule!$J$4:$J$34,$A50)+COUNTIFS(Schedule!$A$4:$A$34,"Κυριακή",Schedule!$K$4:$K$34,$A50)</f>
        <v/>
      </c>
      <c r="D50">
        <f>COUNTIF(Schedule!$C$4:$C$34,$A50)+COUNTIF(Schedule!$D$4:$D$34,$A50)+COUNTIF(Schedule!$E$4:$E$34,$A50)+COUNTIF(Schedule!$F$4:$F$34,$A50)</f>
        <v/>
      </c>
      <c r="E50">
        <f>COUNTIF(Schedule!$G$4:$G$34,$A50)+COUNTIF(Schedule!$H$4:$H$34,$A50)</f>
        <v/>
      </c>
      <c r="F50">
        <f>COUNTIF(Schedule!$I$4:$I$34,$A50)+COUNTIF(Schedule!$J$4:$J$34,$A50)</f>
        <v/>
      </c>
      <c r="G50">
        <f>COUNTIF(Schedule!$K$4:$K$34,$A50)</f>
        <v/>
      </c>
      <c r="H50">
        <f>COUNTIF(Schedule!$L$4:$L$34,$A50)</f>
        <v/>
      </c>
      <c r="I50">
        <f>COUNTIF(Schedule!$M$4:$M$34,$A50)</f>
        <v/>
      </c>
      <c r="J50">
        <f>SUM(H50:I50)</f>
        <v/>
      </c>
      <c r="K50">
        <f>IFERROR(IF(B50&lt;=VLOOKUP(TRIM($A50),Personnel!$A:$N,13,0),"OK","ΥΠΕΡΒΑΣΗ"),"!")</f>
        <v/>
      </c>
      <c r="L50">
        <f>IFERROR(IF(C50&lt;=VLOOKUP(TRIM($A50),Personnel!$A:$N,14,0),"OK","ΠΟΛΛΑ ΣΚ"),"!")</f>
        <v/>
      </c>
    </row>
    <row r="51">
      <c r="A51" t="inlineStr">
        <is>
          <t>ΠΑΠΑΓΕΩΡΓΙΟΥ ΛΟΥΚΑΣ ΑΛΕΞΑΝΔΡΟΣ 1-2 ΜΗΝΑ</t>
        </is>
      </c>
      <c r="B51">
        <f>SUM(D51:G51)</f>
        <v/>
      </c>
      <c r="C51">
        <f>COUNTIFS(Schedule!$A$4:$A$34,"Σάββατο",Schedule!$C$4:$C$34,$A51)+COUNTIFS(Schedule!$A$4:$A$34,"Σάββατο",Schedule!$D$4:$D$34,$A51)+COUNTIFS(Schedule!$A$4:$A$34,"Σάββατο",Schedule!$E$4:$E$34,$A51)+COUNTIFS(Schedule!$A$4:$A$34,"Σάββατο",Schedule!$F$4:$F$34,$A51)+COUNTIFS(Schedule!$A$4:$A$34,"Σάββατο",Schedule!$G$4:$G$34,$A51)+COUNTIFS(Schedule!$A$4:$A$34,"Σάββατο",Schedule!$H$4:$H$34,$A51)+COUNTIFS(Schedule!$A$4:$A$34,"Σάββατο",Schedule!$I$4:$I$34,$A51)+COUNTIFS(Schedule!$A$4:$A$34,"Σάββατο",Schedule!$J$4:$J$34,$A51)+COUNTIFS(Schedule!$A$4:$A$34,"Σάββατο",Schedule!$K$4:$K$34,$A51)+COUNTIFS(Schedule!$A$4:$A$34,"Κυριακή",Schedule!$C$4:$C$34,$A51)+COUNTIFS(Schedule!$A$4:$A$34,"Κυριακή",Schedule!$D$4:$D$34,$A51)+COUNTIFS(Schedule!$A$4:$A$34,"Κυριακή",Schedule!$E$4:$E$34,$A51)+COUNTIFS(Schedule!$A$4:$A$34,"Κυριακή",Schedule!$F$4:$F$34,$A51)+COUNTIFS(Schedule!$A$4:$A$34,"Κυριακή",Schedule!$G$4:$G$34,$A51)+COUNTIFS(Schedule!$A$4:$A$34,"Κυριακή",Schedule!$H$4:$H$34,$A51)+COUNTIFS(Schedule!$A$4:$A$34,"Κυριακή",Schedule!$I$4:$I$34,$A51)+COUNTIFS(Schedule!$A$4:$A$34,"Κυριακή",Schedule!$J$4:$J$34,$A51)+COUNTIFS(Schedule!$A$4:$A$34,"Κυριακή",Schedule!$K$4:$K$34,$A51)</f>
        <v/>
      </c>
      <c r="D51">
        <f>COUNTIF(Schedule!$C$4:$C$34,$A51)+COUNTIF(Schedule!$D$4:$D$34,$A51)+COUNTIF(Schedule!$E$4:$E$34,$A51)+COUNTIF(Schedule!$F$4:$F$34,$A51)</f>
        <v/>
      </c>
      <c r="E51">
        <f>COUNTIF(Schedule!$G$4:$G$34,$A51)+COUNTIF(Schedule!$H$4:$H$34,$A51)</f>
        <v/>
      </c>
      <c r="F51">
        <f>COUNTIF(Schedule!$I$4:$I$34,$A51)+COUNTIF(Schedule!$J$4:$J$34,$A51)</f>
        <v/>
      </c>
      <c r="G51">
        <f>COUNTIF(Schedule!$K$4:$K$34,$A51)</f>
        <v/>
      </c>
      <c r="H51">
        <f>COUNTIF(Schedule!$L$4:$L$34,$A51)</f>
        <v/>
      </c>
      <c r="I51">
        <f>COUNTIF(Schedule!$M$4:$M$34,$A51)</f>
        <v/>
      </c>
      <c r="J51">
        <f>SUM(H51:I51)</f>
        <v/>
      </c>
      <c r="K51">
        <f>IFERROR(IF(B51&lt;=VLOOKUP(TRIM($A51),Personnel!$A:$N,13,0),"OK","ΥΠΕΡΒΑΣΗ"),"!")</f>
        <v/>
      </c>
      <c r="L51">
        <f>IFERROR(IF(C51&lt;=VLOOKUP(TRIM($A51),Personnel!$A:$N,14,0),"OK","ΠΟΛΛΑ ΣΚ"),"!")</f>
        <v/>
      </c>
    </row>
    <row r="52">
      <c r="A52" t="inlineStr">
        <is>
          <t>ΓΑΡΓΑΛΗΣ ΒΑΣΙΛΕΙΟΣ 1-2 ΜΗΝΑ</t>
        </is>
      </c>
      <c r="B52">
        <f>SUM(D52:G52)</f>
        <v/>
      </c>
      <c r="C52">
        <f>COUNTIFS(Schedule!$A$4:$A$34,"Σάββατο",Schedule!$C$4:$C$34,$A52)+COUNTIFS(Schedule!$A$4:$A$34,"Σάββατο",Schedule!$D$4:$D$34,$A52)+COUNTIFS(Schedule!$A$4:$A$34,"Σάββατο",Schedule!$E$4:$E$34,$A52)+COUNTIFS(Schedule!$A$4:$A$34,"Σάββατο",Schedule!$F$4:$F$34,$A52)+COUNTIFS(Schedule!$A$4:$A$34,"Σάββατο",Schedule!$G$4:$G$34,$A52)+COUNTIFS(Schedule!$A$4:$A$34,"Σάββατο",Schedule!$H$4:$H$34,$A52)+COUNTIFS(Schedule!$A$4:$A$34,"Σάββατο",Schedule!$I$4:$I$34,$A52)+COUNTIFS(Schedule!$A$4:$A$34,"Σάββατο",Schedule!$J$4:$J$34,$A52)+COUNTIFS(Schedule!$A$4:$A$34,"Σάββατο",Schedule!$K$4:$K$34,$A52)+COUNTIFS(Schedule!$A$4:$A$34,"Κυριακή",Schedule!$C$4:$C$34,$A52)+COUNTIFS(Schedule!$A$4:$A$34,"Κυριακή",Schedule!$D$4:$D$34,$A52)+COUNTIFS(Schedule!$A$4:$A$34,"Κυριακή",Schedule!$E$4:$E$34,$A52)+COUNTIFS(Schedule!$A$4:$A$34,"Κυριακή",Schedule!$F$4:$F$34,$A52)+COUNTIFS(Schedule!$A$4:$A$34,"Κυριακή",Schedule!$G$4:$G$34,$A52)+COUNTIFS(Schedule!$A$4:$A$34,"Κυριακή",Schedule!$H$4:$H$34,$A52)+COUNTIFS(Schedule!$A$4:$A$34,"Κυριακή",Schedule!$I$4:$I$34,$A52)+COUNTIFS(Schedule!$A$4:$A$34,"Κυριακή",Schedule!$J$4:$J$34,$A52)+COUNTIFS(Schedule!$A$4:$A$34,"Κυριακή",Schedule!$K$4:$K$34,$A52)</f>
        <v/>
      </c>
      <c r="D52">
        <f>COUNTIF(Schedule!$C$4:$C$34,$A52)+COUNTIF(Schedule!$D$4:$D$34,$A52)+COUNTIF(Schedule!$E$4:$E$34,$A52)+COUNTIF(Schedule!$F$4:$F$34,$A52)</f>
        <v/>
      </c>
      <c r="E52">
        <f>COUNTIF(Schedule!$G$4:$G$34,$A52)+COUNTIF(Schedule!$H$4:$H$34,$A52)</f>
        <v/>
      </c>
      <c r="F52">
        <f>COUNTIF(Schedule!$I$4:$I$34,$A52)+COUNTIF(Schedule!$J$4:$J$34,$A52)</f>
        <v/>
      </c>
      <c r="G52">
        <f>COUNTIF(Schedule!$K$4:$K$34,$A52)</f>
        <v/>
      </c>
      <c r="H52">
        <f>COUNTIF(Schedule!$L$4:$L$34,$A52)</f>
        <v/>
      </c>
      <c r="I52">
        <f>COUNTIF(Schedule!$M$4:$M$34,$A52)</f>
        <v/>
      </c>
      <c r="J52">
        <f>SUM(H52:I52)</f>
        <v/>
      </c>
      <c r="K52">
        <f>IFERROR(IF(B52&lt;=VLOOKUP(TRIM($A52),Personnel!$A:$N,13,0),"OK","ΥΠΕΡΒΑΣΗ"),"!")</f>
        <v/>
      </c>
      <c r="L52">
        <f>IFERROR(IF(C52&lt;=VLOOKUP(TRIM($A52),Personnel!$A:$N,14,0),"OK","ΠΟΛΛΑ ΣΚ"),"!")</f>
        <v/>
      </c>
    </row>
    <row r="53">
      <c r="A53" t="inlineStr">
        <is>
          <t>ΒΕΛΙΣΣΑΡΗΣ ΙΩΑΝΝΗΣ 1 ΥΠ ΤΟΝ ΜΗΝΑ (ΜΛΣΝ) (ΔΕΥΤΕΡΗ ΣΤΗΝ ΑΝΑΓΚΗ)</t>
        </is>
      </c>
      <c r="B53">
        <f>SUM(D53:G53)</f>
        <v/>
      </c>
      <c r="C53">
        <f>COUNTIFS(Schedule!$A$4:$A$34,"Σάββατο",Schedule!$C$4:$C$34,$A53)+COUNTIFS(Schedule!$A$4:$A$34,"Σάββατο",Schedule!$D$4:$D$34,$A53)+COUNTIFS(Schedule!$A$4:$A$34,"Σάββατο",Schedule!$E$4:$E$34,$A53)+COUNTIFS(Schedule!$A$4:$A$34,"Σάββατο",Schedule!$F$4:$F$34,$A53)+COUNTIFS(Schedule!$A$4:$A$34,"Σάββατο",Schedule!$G$4:$G$34,$A53)+COUNTIFS(Schedule!$A$4:$A$34,"Σάββατο",Schedule!$H$4:$H$34,$A53)+COUNTIFS(Schedule!$A$4:$A$34,"Σάββατο",Schedule!$I$4:$I$34,$A53)+COUNTIFS(Schedule!$A$4:$A$34,"Σάββατο",Schedule!$J$4:$J$34,$A53)+COUNTIFS(Schedule!$A$4:$A$34,"Σάββατο",Schedule!$K$4:$K$34,$A53)+COUNTIFS(Schedule!$A$4:$A$34,"Κυριακή",Schedule!$C$4:$C$34,$A53)+COUNTIFS(Schedule!$A$4:$A$34,"Κυριακή",Schedule!$D$4:$D$34,$A53)+COUNTIFS(Schedule!$A$4:$A$34,"Κυριακή",Schedule!$E$4:$E$34,$A53)+COUNTIFS(Schedule!$A$4:$A$34,"Κυριακή",Schedule!$F$4:$F$34,$A53)+COUNTIFS(Schedule!$A$4:$A$34,"Κυριακή",Schedule!$G$4:$G$34,$A53)+COUNTIFS(Schedule!$A$4:$A$34,"Κυριακή",Schedule!$H$4:$H$34,$A53)+COUNTIFS(Schedule!$A$4:$A$34,"Κυριακή",Schedule!$I$4:$I$34,$A53)+COUNTIFS(Schedule!$A$4:$A$34,"Κυριακή",Schedule!$J$4:$J$34,$A53)+COUNTIFS(Schedule!$A$4:$A$34,"Κυριακή",Schedule!$K$4:$K$34,$A53)</f>
        <v/>
      </c>
      <c r="D53">
        <f>COUNTIF(Schedule!$C$4:$C$34,$A53)+COUNTIF(Schedule!$D$4:$D$34,$A53)+COUNTIF(Schedule!$E$4:$E$34,$A53)+COUNTIF(Schedule!$F$4:$F$34,$A53)</f>
        <v/>
      </c>
      <c r="E53">
        <f>COUNTIF(Schedule!$G$4:$G$34,$A53)+COUNTIF(Schedule!$H$4:$H$34,$A53)</f>
        <v/>
      </c>
      <c r="F53">
        <f>COUNTIF(Schedule!$I$4:$I$34,$A53)+COUNTIF(Schedule!$J$4:$J$34,$A53)</f>
        <v/>
      </c>
      <c r="G53">
        <f>COUNTIF(Schedule!$K$4:$K$34,$A53)</f>
        <v/>
      </c>
      <c r="H53">
        <f>COUNTIF(Schedule!$L$4:$L$34,$A53)</f>
        <v/>
      </c>
      <c r="I53">
        <f>COUNTIF(Schedule!$M$4:$M$34,$A53)</f>
        <v/>
      </c>
      <c r="J53">
        <f>SUM(H53:I53)</f>
        <v/>
      </c>
      <c r="K53">
        <f>IFERROR(IF(B53&lt;=VLOOKUP(TRIM($A53),Personnel!$A:$N,13,0),"OK","ΥΠΕΡΒΑΣΗ"),"!")</f>
        <v/>
      </c>
      <c r="L53">
        <f>IFERROR(IF(C53&lt;=VLOOKUP(TRIM($A53),Personnel!$A:$N,14,0),"OK","ΠΟΛΛΑ ΣΚ"),"!")</f>
        <v/>
      </c>
    </row>
    <row r="54">
      <c r="A54" t="inlineStr">
        <is>
          <t>ΒΕΪΟΓΛΑΝΗΣ ΙΩΑΝΝΗΣ (ΒΑΥΔΜ)</t>
        </is>
      </c>
      <c r="B54">
        <f>SUM(D54:G54)</f>
        <v/>
      </c>
      <c r="C54">
        <f>COUNTIFS(Schedule!$A$4:$A$34,"Σάββατο",Schedule!$C$4:$C$34,$A54)+COUNTIFS(Schedule!$A$4:$A$34,"Σάββατο",Schedule!$D$4:$D$34,$A54)+COUNTIFS(Schedule!$A$4:$A$34,"Σάββατο",Schedule!$E$4:$E$34,$A54)+COUNTIFS(Schedule!$A$4:$A$34,"Σάββατο",Schedule!$F$4:$F$34,$A54)+COUNTIFS(Schedule!$A$4:$A$34,"Σάββατο",Schedule!$G$4:$G$34,$A54)+COUNTIFS(Schedule!$A$4:$A$34,"Σάββατο",Schedule!$H$4:$H$34,$A54)+COUNTIFS(Schedule!$A$4:$A$34,"Σάββατο",Schedule!$I$4:$I$34,$A54)+COUNTIFS(Schedule!$A$4:$A$34,"Σάββατο",Schedule!$J$4:$J$34,$A54)+COUNTIFS(Schedule!$A$4:$A$34,"Σάββατο",Schedule!$K$4:$K$34,$A54)+COUNTIFS(Schedule!$A$4:$A$34,"Κυριακή",Schedule!$C$4:$C$34,$A54)+COUNTIFS(Schedule!$A$4:$A$34,"Κυριακή",Schedule!$D$4:$D$34,$A54)+COUNTIFS(Schedule!$A$4:$A$34,"Κυριακή",Schedule!$E$4:$E$34,$A54)+COUNTIFS(Schedule!$A$4:$A$34,"Κυριακή",Schedule!$F$4:$F$34,$A54)+COUNTIFS(Schedule!$A$4:$A$34,"Κυριακή",Schedule!$G$4:$G$34,$A54)+COUNTIFS(Schedule!$A$4:$A$34,"Κυριακή",Schedule!$H$4:$H$34,$A54)+COUNTIFS(Schedule!$A$4:$A$34,"Κυριακή",Schedule!$I$4:$I$34,$A54)+COUNTIFS(Schedule!$A$4:$A$34,"Κυριακή",Schedule!$J$4:$J$34,$A54)+COUNTIFS(Schedule!$A$4:$A$34,"Κυριακή",Schedule!$K$4:$K$34,$A54)</f>
        <v/>
      </c>
      <c r="D54">
        <f>COUNTIF(Schedule!$C$4:$C$34,$A54)+COUNTIF(Schedule!$D$4:$D$34,$A54)+COUNTIF(Schedule!$E$4:$E$34,$A54)+COUNTIF(Schedule!$F$4:$F$34,$A54)</f>
        <v/>
      </c>
      <c r="E54">
        <f>COUNTIF(Schedule!$G$4:$G$34,$A54)+COUNTIF(Schedule!$H$4:$H$34,$A54)</f>
        <v/>
      </c>
      <c r="F54">
        <f>COUNTIF(Schedule!$I$4:$I$34,$A54)+COUNTIF(Schedule!$J$4:$J$34,$A54)</f>
        <v/>
      </c>
      <c r="G54">
        <f>COUNTIF(Schedule!$K$4:$K$34,$A54)</f>
        <v/>
      </c>
      <c r="H54">
        <f>COUNTIF(Schedule!$L$4:$L$34,$A54)</f>
        <v/>
      </c>
      <c r="I54">
        <f>COUNTIF(Schedule!$M$4:$M$34,$A54)</f>
        <v/>
      </c>
      <c r="J54">
        <f>SUM(H54:I54)</f>
        <v/>
      </c>
      <c r="K54">
        <f>IFERROR(IF(B54&lt;=VLOOKUP(TRIM($A54),Personnel!$A:$N,13,0),"OK","ΥΠΕΡΒΑΣΗ"),"!")</f>
        <v/>
      </c>
      <c r="L54">
        <f>IFERROR(IF(C54&lt;=VLOOKUP(TRIM($A54),Personnel!$A:$N,14,0),"OK","ΠΟΛΛΑ ΣΚ"),"!")</f>
        <v/>
      </c>
    </row>
    <row r="55">
      <c r="A55" t="inlineStr">
        <is>
          <t>ΚΩΝΣΤΑΝΤΙΝΙΔΗΣ ΙΩΑΝΝΗΣ</t>
        </is>
      </c>
      <c r="B55">
        <f>SUM(D55:G55)</f>
        <v/>
      </c>
      <c r="C55">
        <f>COUNTIFS(Schedule!$A$4:$A$34,"Σάββατο",Schedule!$C$4:$C$34,$A55)+COUNTIFS(Schedule!$A$4:$A$34,"Σάββατο",Schedule!$D$4:$D$34,$A55)+COUNTIFS(Schedule!$A$4:$A$34,"Σάββατο",Schedule!$E$4:$E$34,$A55)+COUNTIFS(Schedule!$A$4:$A$34,"Σάββατο",Schedule!$F$4:$F$34,$A55)+COUNTIFS(Schedule!$A$4:$A$34,"Σάββατο",Schedule!$G$4:$G$34,$A55)+COUNTIFS(Schedule!$A$4:$A$34,"Σάββατο",Schedule!$H$4:$H$34,$A55)+COUNTIFS(Schedule!$A$4:$A$34,"Σάββατο",Schedule!$I$4:$I$34,$A55)+COUNTIFS(Schedule!$A$4:$A$34,"Σάββατο",Schedule!$J$4:$J$34,$A55)+COUNTIFS(Schedule!$A$4:$A$34,"Σάββατο",Schedule!$K$4:$K$34,$A55)+COUNTIFS(Schedule!$A$4:$A$34,"Κυριακή",Schedule!$C$4:$C$34,$A55)+COUNTIFS(Schedule!$A$4:$A$34,"Κυριακή",Schedule!$D$4:$D$34,$A55)+COUNTIFS(Schedule!$A$4:$A$34,"Κυριακή",Schedule!$E$4:$E$34,$A55)+COUNTIFS(Schedule!$A$4:$A$34,"Κυριακή",Schedule!$F$4:$F$34,$A55)+COUNTIFS(Schedule!$A$4:$A$34,"Κυριακή",Schedule!$G$4:$G$34,$A55)+COUNTIFS(Schedule!$A$4:$A$34,"Κυριακή",Schedule!$H$4:$H$34,$A55)+COUNTIFS(Schedule!$A$4:$A$34,"Κυριακή",Schedule!$I$4:$I$34,$A55)+COUNTIFS(Schedule!$A$4:$A$34,"Κυριακή",Schedule!$J$4:$J$34,$A55)+COUNTIFS(Schedule!$A$4:$A$34,"Κυριακή",Schedule!$K$4:$K$34,$A55)</f>
        <v/>
      </c>
      <c r="D55">
        <f>COUNTIF(Schedule!$C$4:$C$34,$A55)+COUNTIF(Schedule!$D$4:$D$34,$A55)+COUNTIF(Schedule!$E$4:$E$34,$A55)+COUNTIF(Schedule!$F$4:$F$34,$A55)</f>
        <v/>
      </c>
      <c r="E55">
        <f>COUNTIF(Schedule!$G$4:$G$34,$A55)+COUNTIF(Schedule!$H$4:$H$34,$A55)</f>
        <v/>
      </c>
      <c r="F55">
        <f>COUNTIF(Schedule!$I$4:$I$34,$A55)+COUNTIF(Schedule!$J$4:$J$34,$A55)</f>
        <v/>
      </c>
      <c r="G55">
        <f>COUNTIF(Schedule!$K$4:$K$34,$A55)</f>
        <v/>
      </c>
      <c r="H55">
        <f>COUNTIF(Schedule!$L$4:$L$34,$A55)</f>
        <v/>
      </c>
      <c r="I55">
        <f>COUNTIF(Schedule!$M$4:$M$34,$A55)</f>
        <v/>
      </c>
      <c r="J55">
        <f>SUM(H55:I55)</f>
        <v/>
      </c>
      <c r="K55">
        <f>IFERROR(IF(B55&lt;=VLOOKUP(TRIM($A55),Personnel!$A:$N,13,0),"OK","ΥΠΕΡΒΑΣΗ"),"!")</f>
        <v/>
      </c>
      <c r="L55">
        <f>IFERROR(IF(C55&lt;=VLOOKUP(TRIM($A55),Personnel!$A:$N,14,0),"OK","ΠΟΛΛΑ ΣΚ"),"!")</f>
        <v/>
      </c>
    </row>
    <row r="56">
      <c r="A56" t="inlineStr">
        <is>
          <t>ΚΟΥΛΟΠΟΥΛΟΣ ΓΕΡΑΣΙΜΟΣ</t>
        </is>
      </c>
      <c r="B56">
        <f>SUM(D56:G56)</f>
        <v/>
      </c>
      <c r="C56">
        <f>COUNTIFS(Schedule!$A$4:$A$34,"Σάββατο",Schedule!$C$4:$C$34,$A56)+COUNTIFS(Schedule!$A$4:$A$34,"Σάββατο",Schedule!$D$4:$D$34,$A56)+COUNTIFS(Schedule!$A$4:$A$34,"Σάββατο",Schedule!$E$4:$E$34,$A56)+COUNTIFS(Schedule!$A$4:$A$34,"Σάββατο",Schedule!$F$4:$F$34,$A56)+COUNTIFS(Schedule!$A$4:$A$34,"Σάββατο",Schedule!$G$4:$G$34,$A56)+COUNTIFS(Schedule!$A$4:$A$34,"Σάββατο",Schedule!$H$4:$H$34,$A56)+COUNTIFS(Schedule!$A$4:$A$34,"Σάββατο",Schedule!$I$4:$I$34,$A56)+COUNTIFS(Schedule!$A$4:$A$34,"Σάββατο",Schedule!$J$4:$J$34,$A56)+COUNTIFS(Schedule!$A$4:$A$34,"Σάββατο",Schedule!$K$4:$K$34,$A56)+COUNTIFS(Schedule!$A$4:$A$34,"Κυριακή",Schedule!$C$4:$C$34,$A56)+COUNTIFS(Schedule!$A$4:$A$34,"Κυριακή",Schedule!$D$4:$D$34,$A56)+COUNTIFS(Schedule!$A$4:$A$34,"Κυριακή",Schedule!$E$4:$E$34,$A56)+COUNTIFS(Schedule!$A$4:$A$34,"Κυριακή",Schedule!$F$4:$F$34,$A56)+COUNTIFS(Schedule!$A$4:$A$34,"Κυριακή",Schedule!$G$4:$G$34,$A56)+COUNTIFS(Schedule!$A$4:$A$34,"Κυριακή",Schedule!$H$4:$H$34,$A56)+COUNTIFS(Schedule!$A$4:$A$34,"Κυριακή",Schedule!$I$4:$I$34,$A56)+COUNTIFS(Schedule!$A$4:$A$34,"Κυριακή",Schedule!$J$4:$J$34,$A56)+COUNTIFS(Schedule!$A$4:$A$34,"Κυριακή",Schedule!$K$4:$K$34,$A56)</f>
        <v/>
      </c>
      <c r="D56">
        <f>COUNTIF(Schedule!$C$4:$C$34,$A56)+COUNTIF(Schedule!$D$4:$D$34,$A56)+COUNTIF(Schedule!$E$4:$E$34,$A56)+COUNTIF(Schedule!$F$4:$F$34,$A56)</f>
        <v/>
      </c>
      <c r="E56">
        <f>COUNTIF(Schedule!$G$4:$G$34,$A56)+COUNTIF(Schedule!$H$4:$H$34,$A56)</f>
        <v/>
      </c>
      <c r="F56">
        <f>COUNTIF(Schedule!$I$4:$I$34,$A56)+COUNTIF(Schedule!$J$4:$J$34,$A56)</f>
        <v/>
      </c>
      <c r="G56">
        <f>COUNTIF(Schedule!$K$4:$K$34,$A56)</f>
        <v/>
      </c>
      <c r="H56">
        <f>COUNTIF(Schedule!$L$4:$L$34,$A56)</f>
        <v/>
      </c>
      <c r="I56">
        <f>COUNTIF(Schedule!$M$4:$M$34,$A56)</f>
        <v/>
      </c>
      <c r="J56">
        <f>SUM(H56:I56)</f>
        <v/>
      </c>
      <c r="K56">
        <f>IFERROR(IF(B56&lt;=VLOOKUP(TRIM($A56),Personnel!$A:$N,13,0),"OK","ΥΠΕΡΒΑΣΗ"),"!")</f>
        <v/>
      </c>
      <c r="L56">
        <f>IFERROR(IF(C56&lt;=VLOOKUP(TRIM($A56),Personnel!$A:$N,14,0),"OK","ΠΟΛΛΑ ΣΚ"),"!")</f>
        <v/>
      </c>
    </row>
    <row r="57">
      <c r="A57" t="inlineStr">
        <is>
          <t>ΚΑΤΣΕΝΙΟΣ ΑΘΑΝ. 1 ΕΤΑΦ 3 ΒΑΥΔΜ</t>
        </is>
      </c>
      <c r="B57">
        <f>SUM(D57:G57)</f>
        <v/>
      </c>
      <c r="C57">
        <f>COUNTIFS(Schedule!$A$4:$A$34,"Σάββατο",Schedule!$C$4:$C$34,$A57)+COUNTIFS(Schedule!$A$4:$A$34,"Σάββατο",Schedule!$D$4:$D$34,$A57)+COUNTIFS(Schedule!$A$4:$A$34,"Σάββατο",Schedule!$E$4:$E$34,$A57)+COUNTIFS(Schedule!$A$4:$A$34,"Σάββατο",Schedule!$F$4:$F$34,$A57)+COUNTIFS(Schedule!$A$4:$A$34,"Σάββατο",Schedule!$G$4:$G$34,$A57)+COUNTIFS(Schedule!$A$4:$A$34,"Σάββατο",Schedule!$H$4:$H$34,$A57)+COUNTIFS(Schedule!$A$4:$A$34,"Σάββατο",Schedule!$I$4:$I$34,$A57)+COUNTIFS(Schedule!$A$4:$A$34,"Σάββατο",Schedule!$J$4:$J$34,$A57)+COUNTIFS(Schedule!$A$4:$A$34,"Σάββατο",Schedule!$K$4:$K$34,$A57)+COUNTIFS(Schedule!$A$4:$A$34,"Κυριακή",Schedule!$C$4:$C$34,$A57)+COUNTIFS(Schedule!$A$4:$A$34,"Κυριακή",Schedule!$D$4:$D$34,$A57)+COUNTIFS(Schedule!$A$4:$A$34,"Κυριακή",Schedule!$E$4:$E$34,$A57)+COUNTIFS(Schedule!$A$4:$A$34,"Κυριακή",Schedule!$F$4:$F$34,$A57)+COUNTIFS(Schedule!$A$4:$A$34,"Κυριακή",Schedule!$G$4:$G$34,$A57)+COUNTIFS(Schedule!$A$4:$A$34,"Κυριακή",Schedule!$H$4:$H$34,$A57)+COUNTIFS(Schedule!$A$4:$A$34,"Κυριακή",Schedule!$I$4:$I$34,$A57)+COUNTIFS(Schedule!$A$4:$A$34,"Κυριακή",Schedule!$J$4:$J$34,$A57)+COUNTIFS(Schedule!$A$4:$A$34,"Κυριακή",Schedule!$K$4:$K$34,$A57)</f>
        <v/>
      </c>
      <c r="D57">
        <f>COUNTIF(Schedule!$C$4:$C$34,$A57)+COUNTIF(Schedule!$D$4:$D$34,$A57)+COUNTIF(Schedule!$E$4:$E$34,$A57)+COUNTIF(Schedule!$F$4:$F$34,$A57)</f>
        <v/>
      </c>
      <c r="E57">
        <f>COUNTIF(Schedule!$G$4:$G$34,$A57)+COUNTIF(Schedule!$H$4:$H$34,$A57)</f>
        <v/>
      </c>
      <c r="F57">
        <f>COUNTIF(Schedule!$I$4:$I$34,$A57)+COUNTIF(Schedule!$J$4:$J$34,$A57)</f>
        <v/>
      </c>
      <c r="G57">
        <f>COUNTIF(Schedule!$K$4:$K$34,$A57)</f>
        <v/>
      </c>
      <c r="H57">
        <f>COUNTIF(Schedule!$L$4:$L$34,$A57)</f>
        <v/>
      </c>
      <c r="I57">
        <f>COUNTIF(Schedule!$M$4:$M$34,$A57)</f>
        <v/>
      </c>
      <c r="J57">
        <f>SUM(H57:I57)</f>
        <v/>
      </c>
      <c r="K57">
        <f>IFERROR(IF(B57&lt;=VLOOKUP(TRIM($A57),Personnel!$A:$N,13,0),"OK","ΥΠΕΡΒΑΣΗ"),"!")</f>
        <v/>
      </c>
      <c r="L57">
        <f>IFERROR(IF(C57&lt;=VLOOKUP(TRIM($A57),Personnel!$A:$N,14,0),"OK","ΠΟΛΛΑ ΣΚ"),"!")</f>
        <v/>
      </c>
    </row>
    <row r="58">
      <c r="A58" t="inlineStr">
        <is>
          <t>ΓΙΑΝΝΟΓΛΟΥ ΠΑΡΘΕΝΙΟΣ ΑΓΓΕΛΟΣ</t>
        </is>
      </c>
      <c r="B58">
        <f>SUM(D58:G58)</f>
        <v/>
      </c>
      <c r="C58">
        <f>COUNTIFS(Schedule!$A$4:$A$34,"Σάββατο",Schedule!$C$4:$C$34,$A58)+COUNTIFS(Schedule!$A$4:$A$34,"Σάββατο",Schedule!$D$4:$D$34,$A58)+COUNTIFS(Schedule!$A$4:$A$34,"Σάββατο",Schedule!$E$4:$E$34,$A58)+COUNTIFS(Schedule!$A$4:$A$34,"Σάββατο",Schedule!$F$4:$F$34,$A58)+COUNTIFS(Schedule!$A$4:$A$34,"Σάββατο",Schedule!$G$4:$G$34,$A58)+COUNTIFS(Schedule!$A$4:$A$34,"Σάββατο",Schedule!$H$4:$H$34,$A58)+COUNTIFS(Schedule!$A$4:$A$34,"Σάββατο",Schedule!$I$4:$I$34,$A58)+COUNTIFS(Schedule!$A$4:$A$34,"Σάββατο",Schedule!$J$4:$J$34,$A58)+COUNTIFS(Schedule!$A$4:$A$34,"Σάββατο",Schedule!$K$4:$K$34,$A58)+COUNTIFS(Schedule!$A$4:$A$34,"Κυριακή",Schedule!$C$4:$C$34,$A58)+COUNTIFS(Schedule!$A$4:$A$34,"Κυριακή",Schedule!$D$4:$D$34,$A58)+COUNTIFS(Schedule!$A$4:$A$34,"Κυριακή",Schedule!$E$4:$E$34,$A58)+COUNTIFS(Schedule!$A$4:$A$34,"Κυριακή",Schedule!$F$4:$F$34,$A58)+COUNTIFS(Schedule!$A$4:$A$34,"Κυριακή",Schedule!$G$4:$G$34,$A58)+COUNTIFS(Schedule!$A$4:$A$34,"Κυριακή",Schedule!$H$4:$H$34,$A58)+COUNTIFS(Schedule!$A$4:$A$34,"Κυριακή",Schedule!$I$4:$I$34,$A58)+COUNTIFS(Schedule!$A$4:$A$34,"Κυριακή",Schedule!$J$4:$J$34,$A58)+COUNTIFS(Schedule!$A$4:$A$34,"Κυριακή",Schedule!$K$4:$K$34,$A58)</f>
        <v/>
      </c>
      <c r="D58">
        <f>COUNTIF(Schedule!$C$4:$C$34,$A58)+COUNTIF(Schedule!$D$4:$D$34,$A58)+COUNTIF(Schedule!$E$4:$E$34,$A58)+COUNTIF(Schedule!$F$4:$F$34,$A58)</f>
        <v/>
      </c>
      <c r="E58">
        <f>COUNTIF(Schedule!$G$4:$G$34,$A58)+COUNTIF(Schedule!$H$4:$H$34,$A58)</f>
        <v/>
      </c>
      <c r="F58">
        <f>COUNTIF(Schedule!$I$4:$I$34,$A58)+COUNTIF(Schedule!$J$4:$J$34,$A58)</f>
        <v/>
      </c>
      <c r="G58">
        <f>COUNTIF(Schedule!$K$4:$K$34,$A58)</f>
        <v/>
      </c>
      <c r="H58">
        <f>COUNTIF(Schedule!$L$4:$L$34,$A58)</f>
        <v/>
      </c>
      <c r="I58">
        <f>COUNTIF(Schedule!$M$4:$M$34,$A58)</f>
        <v/>
      </c>
      <c r="J58">
        <f>SUM(H58:I58)</f>
        <v/>
      </c>
      <c r="K58">
        <f>IFERROR(IF(B58&lt;=VLOOKUP(TRIM($A58),Personnel!$A:$N,13,0),"OK","ΥΠΕΡΒΑΣΗ"),"!")</f>
        <v/>
      </c>
      <c r="L58">
        <f>IFERROR(IF(C58&lt;=VLOOKUP(TRIM($A58),Personnel!$A:$N,14,0),"OK","ΠΟΛΛΑ ΣΚ"),"!")</f>
        <v/>
      </c>
    </row>
    <row r="59">
      <c r="A59" t="inlineStr">
        <is>
          <t>ΑΛΕΞΑΝΔΡΙΔΗΣ ΣΤΑΥΡΟΣ</t>
        </is>
      </c>
      <c r="B59">
        <f>SUM(D59:G59)</f>
        <v/>
      </c>
      <c r="C59">
        <f>COUNTIFS(Schedule!$A$4:$A$34,"Σάββατο",Schedule!$C$4:$C$34,$A59)+COUNTIFS(Schedule!$A$4:$A$34,"Σάββατο",Schedule!$D$4:$D$34,$A59)+COUNTIFS(Schedule!$A$4:$A$34,"Σάββατο",Schedule!$E$4:$E$34,$A59)+COUNTIFS(Schedule!$A$4:$A$34,"Σάββατο",Schedule!$F$4:$F$34,$A59)+COUNTIFS(Schedule!$A$4:$A$34,"Σάββατο",Schedule!$G$4:$G$34,$A59)+COUNTIFS(Schedule!$A$4:$A$34,"Σάββατο",Schedule!$H$4:$H$34,$A59)+COUNTIFS(Schedule!$A$4:$A$34,"Σάββατο",Schedule!$I$4:$I$34,$A59)+COUNTIFS(Schedule!$A$4:$A$34,"Σάββατο",Schedule!$J$4:$J$34,$A59)+COUNTIFS(Schedule!$A$4:$A$34,"Σάββατο",Schedule!$K$4:$K$34,$A59)+COUNTIFS(Schedule!$A$4:$A$34,"Κυριακή",Schedule!$C$4:$C$34,$A59)+COUNTIFS(Schedule!$A$4:$A$34,"Κυριακή",Schedule!$D$4:$D$34,$A59)+COUNTIFS(Schedule!$A$4:$A$34,"Κυριακή",Schedule!$E$4:$E$34,$A59)+COUNTIFS(Schedule!$A$4:$A$34,"Κυριακή",Schedule!$F$4:$F$34,$A59)+COUNTIFS(Schedule!$A$4:$A$34,"Κυριακή",Schedule!$G$4:$G$34,$A59)+COUNTIFS(Schedule!$A$4:$A$34,"Κυριακή",Schedule!$H$4:$H$34,$A59)+COUNTIFS(Schedule!$A$4:$A$34,"Κυριακή",Schedule!$I$4:$I$34,$A59)+COUNTIFS(Schedule!$A$4:$A$34,"Κυριακή",Schedule!$J$4:$J$34,$A59)+COUNTIFS(Schedule!$A$4:$A$34,"Κυριακή",Schedule!$K$4:$K$34,$A59)</f>
        <v/>
      </c>
      <c r="D59">
        <f>COUNTIF(Schedule!$C$4:$C$34,$A59)+COUNTIF(Schedule!$D$4:$D$34,$A59)+COUNTIF(Schedule!$E$4:$E$34,$A59)+COUNTIF(Schedule!$F$4:$F$34,$A59)</f>
        <v/>
      </c>
      <c r="E59">
        <f>COUNTIF(Schedule!$G$4:$G$34,$A59)+COUNTIF(Schedule!$H$4:$H$34,$A59)</f>
        <v/>
      </c>
      <c r="F59">
        <f>COUNTIF(Schedule!$I$4:$I$34,$A59)+COUNTIF(Schedule!$J$4:$J$34,$A59)</f>
        <v/>
      </c>
      <c r="G59">
        <f>COUNTIF(Schedule!$K$4:$K$34,$A59)</f>
        <v/>
      </c>
      <c r="H59">
        <f>COUNTIF(Schedule!$L$4:$L$34,$A59)</f>
        <v/>
      </c>
      <c r="I59">
        <f>COUNTIF(Schedule!$M$4:$M$34,$A59)</f>
        <v/>
      </c>
      <c r="J59">
        <f>SUM(H59:I59)</f>
        <v/>
      </c>
      <c r="K59">
        <f>IFERROR(IF(B59&lt;=VLOOKUP(TRIM($A59),Personnel!$A:$N,13,0),"OK","ΥΠΕΡΒΑΣΗ"),"!")</f>
        <v/>
      </c>
      <c r="L59">
        <f>IFERROR(IF(C59&lt;=VLOOKUP(TRIM($A59),Personnel!$A:$N,14,0),"OK","ΠΟΛΛΑ ΣΚ"),"!")</f>
        <v/>
      </c>
    </row>
    <row r="60">
      <c r="A60" t="inlineStr">
        <is>
          <t>ΚΑΚΟΥΡΑΣ ΓΕΩΡΓΙΟΣ</t>
        </is>
      </c>
      <c r="B60">
        <f>SUM(D60:G60)</f>
        <v/>
      </c>
      <c r="C60">
        <f>COUNTIFS(Schedule!$A$4:$A$34,"Σάββατο",Schedule!$C$4:$C$34,$A60)+COUNTIFS(Schedule!$A$4:$A$34,"Σάββατο",Schedule!$D$4:$D$34,$A60)+COUNTIFS(Schedule!$A$4:$A$34,"Σάββατο",Schedule!$E$4:$E$34,$A60)+COUNTIFS(Schedule!$A$4:$A$34,"Σάββατο",Schedule!$F$4:$F$34,$A60)+COUNTIFS(Schedule!$A$4:$A$34,"Σάββατο",Schedule!$G$4:$G$34,$A60)+COUNTIFS(Schedule!$A$4:$A$34,"Σάββατο",Schedule!$H$4:$H$34,$A60)+COUNTIFS(Schedule!$A$4:$A$34,"Σάββατο",Schedule!$I$4:$I$34,$A60)+COUNTIFS(Schedule!$A$4:$A$34,"Σάββατο",Schedule!$J$4:$J$34,$A60)+COUNTIFS(Schedule!$A$4:$A$34,"Σάββατο",Schedule!$K$4:$K$34,$A60)+COUNTIFS(Schedule!$A$4:$A$34,"Κυριακή",Schedule!$C$4:$C$34,$A60)+COUNTIFS(Schedule!$A$4:$A$34,"Κυριακή",Schedule!$D$4:$D$34,$A60)+COUNTIFS(Schedule!$A$4:$A$34,"Κυριακή",Schedule!$E$4:$E$34,$A60)+COUNTIFS(Schedule!$A$4:$A$34,"Κυριακή",Schedule!$F$4:$F$34,$A60)+COUNTIFS(Schedule!$A$4:$A$34,"Κυριακή",Schedule!$G$4:$G$34,$A60)+COUNTIFS(Schedule!$A$4:$A$34,"Κυριακή",Schedule!$H$4:$H$34,$A60)+COUNTIFS(Schedule!$A$4:$A$34,"Κυριακή",Schedule!$I$4:$I$34,$A60)+COUNTIFS(Schedule!$A$4:$A$34,"Κυριακή",Schedule!$J$4:$J$34,$A60)+COUNTIFS(Schedule!$A$4:$A$34,"Κυριακή",Schedule!$K$4:$K$34,$A60)</f>
        <v/>
      </c>
      <c r="D60">
        <f>COUNTIF(Schedule!$C$4:$C$34,$A60)+COUNTIF(Schedule!$D$4:$D$34,$A60)+COUNTIF(Schedule!$E$4:$E$34,$A60)+COUNTIF(Schedule!$F$4:$F$34,$A60)</f>
        <v/>
      </c>
      <c r="E60">
        <f>COUNTIF(Schedule!$G$4:$G$34,$A60)+COUNTIF(Schedule!$H$4:$H$34,$A60)</f>
        <v/>
      </c>
      <c r="F60">
        <f>COUNTIF(Schedule!$I$4:$I$34,$A60)+COUNTIF(Schedule!$J$4:$J$34,$A60)</f>
        <v/>
      </c>
      <c r="G60">
        <f>COUNTIF(Schedule!$K$4:$K$34,$A60)</f>
        <v/>
      </c>
      <c r="H60">
        <f>COUNTIF(Schedule!$L$4:$L$34,$A60)</f>
        <v/>
      </c>
      <c r="I60">
        <f>COUNTIF(Schedule!$M$4:$M$34,$A60)</f>
        <v/>
      </c>
      <c r="J60">
        <f>SUM(H60:I60)</f>
        <v/>
      </c>
      <c r="K60">
        <f>IFERROR(IF(B60&lt;=VLOOKUP(TRIM($A60),Personnel!$A:$N,13,0),"OK","ΥΠΕΡΒΑΣΗ"),"!")</f>
        <v/>
      </c>
      <c r="L60">
        <f>IFERROR(IF(C60&lt;=VLOOKUP(TRIM($A60),Personnel!$A:$N,14,0),"OK","ΠΟΛΛΑ ΣΚ"),"!")</f>
        <v/>
      </c>
    </row>
    <row r="61">
      <c r="A61" t="inlineStr">
        <is>
          <t>ΚΑΒΟΥΡΑΣ ΣΤΑΜΑΤΗΣ</t>
        </is>
      </c>
      <c r="B61">
        <f>SUM(D61:G61)</f>
        <v/>
      </c>
      <c r="C61">
        <f>COUNTIFS(Schedule!$A$4:$A$34,"Σάββατο",Schedule!$C$4:$C$34,$A61)+COUNTIFS(Schedule!$A$4:$A$34,"Σάββατο",Schedule!$D$4:$D$34,$A61)+COUNTIFS(Schedule!$A$4:$A$34,"Σάββατο",Schedule!$E$4:$E$34,$A61)+COUNTIFS(Schedule!$A$4:$A$34,"Σάββατο",Schedule!$F$4:$F$34,$A61)+COUNTIFS(Schedule!$A$4:$A$34,"Σάββατο",Schedule!$G$4:$G$34,$A61)+COUNTIFS(Schedule!$A$4:$A$34,"Σάββατο",Schedule!$H$4:$H$34,$A61)+COUNTIFS(Schedule!$A$4:$A$34,"Σάββατο",Schedule!$I$4:$I$34,$A61)+COUNTIFS(Schedule!$A$4:$A$34,"Σάββατο",Schedule!$J$4:$J$34,$A61)+COUNTIFS(Schedule!$A$4:$A$34,"Σάββατο",Schedule!$K$4:$K$34,$A61)+COUNTIFS(Schedule!$A$4:$A$34,"Κυριακή",Schedule!$C$4:$C$34,$A61)+COUNTIFS(Schedule!$A$4:$A$34,"Κυριακή",Schedule!$D$4:$D$34,$A61)+COUNTIFS(Schedule!$A$4:$A$34,"Κυριακή",Schedule!$E$4:$E$34,$A61)+COUNTIFS(Schedule!$A$4:$A$34,"Κυριακή",Schedule!$F$4:$F$34,$A61)+COUNTIFS(Schedule!$A$4:$A$34,"Κυριακή",Schedule!$G$4:$G$34,$A61)+COUNTIFS(Schedule!$A$4:$A$34,"Κυριακή",Schedule!$H$4:$H$34,$A61)+COUNTIFS(Schedule!$A$4:$A$34,"Κυριακή",Schedule!$I$4:$I$34,$A61)+COUNTIFS(Schedule!$A$4:$A$34,"Κυριακή",Schedule!$J$4:$J$34,$A61)+COUNTIFS(Schedule!$A$4:$A$34,"Κυριακή",Schedule!$K$4:$K$34,$A61)</f>
        <v/>
      </c>
      <c r="D61">
        <f>COUNTIF(Schedule!$C$4:$C$34,$A61)+COUNTIF(Schedule!$D$4:$D$34,$A61)+COUNTIF(Schedule!$E$4:$E$34,$A61)+COUNTIF(Schedule!$F$4:$F$34,$A61)</f>
        <v/>
      </c>
      <c r="E61">
        <f>COUNTIF(Schedule!$G$4:$G$34,$A61)+COUNTIF(Schedule!$H$4:$H$34,$A61)</f>
        <v/>
      </c>
      <c r="F61">
        <f>COUNTIF(Schedule!$I$4:$I$34,$A61)+COUNTIF(Schedule!$J$4:$J$34,$A61)</f>
        <v/>
      </c>
      <c r="G61">
        <f>COUNTIF(Schedule!$K$4:$K$34,$A61)</f>
        <v/>
      </c>
      <c r="H61">
        <f>COUNTIF(Schedule!$L$4:$L$34,$A61)</f>
        <v/>
      </c>
      <c r="I61">
        <f>COUNTIF(Schedule!$M$4:$M$34,$A61)</f>
        <v/>
      </c>
      <c r="J61">
        <f>SUM(H61:I61)</f>
        <v/>
      </c>
      <c r="K61">
        <f>IFERROR(IF(B61&lt;=VLOOKUP(TRIM($A61),Personnel!$A:$N,13,0),"OK","ΥΠΕΡΒΑΣΗ"),"!")</f>
        <v/>
      </c>
      <c r="L61">
        <f>IFERROR(IF(C61&lt;=VLOOKUP(TRIM($A61),Personnel!$A:$N,14,0),"OK","ΠΟΛΛΑ ΣΚ"),"!")</f>
        <v/>
      </c>
    </row>
    <row r="62">
      <c r="A62" t="inlineStr">
        <is>
          <t>ΛΙΑΠΗΣ ΘΕΟΔΩΡΟΣ (ΑΝΑΡΡΩΤΙΚΗ)</t>
        </is>
      </c>
      <c r="B62">
        <f>SUM(D62:G62)</f>
        <v/>
      </c>
      <c r="C62">
        <f>COUNTIFS(Schedule!$A$4:$A$34,"Σάββατο",Schedule!$C$4:$C$34,$A62)+COUNTIFS(Schedule!$A$4:$A$34,"Σάββατο",Schedule!$D$4:$D$34,$A62)+COUNTIFS(Schedule!$A$4:$A$34,"Σάββατο",Schedule!$E$4:$E$34,$A62)+COUNTIFS(Schedule!$A$4:$A$34,"Σάββατο",Schedule!$F$4:$F$34,$A62)+COUNTIFS(Schedule!$A$4:$A$34,"Σάββατο",Schedule!$G$4:$G$34,$A62)+COUNTIFS(Schedule!$A$4:$A$34,"Σάββατο",Schedule!$H$4:$H$34,$A62)+COUNTIFS(Schedule!$A$4:$A$34,"Σάββατο",Schedule!$I$4:$I$34,$A62)+COUNTIFS(Schedule!$A$4:$A$34,"Σάββατο",Schedule!$J$4:$J$34,$A62)+COUNTIFS(Schedule!$A$4:$A$34,"Σάββατο",Schedule!$K$4:$K$34,$A62)+COUNTIFS(Schedule!$A$4:$A$34,"Κυριακή",Schedule!$C$4:$C$34,$A62)+COUNTIFS(Schedule!$A$4:$A$34,"Κυριακή",Schedule!$D$4:$D$34,$A62)+COUNTIFS(Schedule!$A$4:$A$34,"Κυριακή",Schedule!$E$4:$E$34,$A62)+COUNTIFS(Schedule!$A$4:$A$34,"Κυριακή",Schedule!$F$4:$F$34,$A62)+COUNTIFS(Schedule!$A$4:$A$34,"Κυριακή",Schedule!$G$4:$G$34,$A62)+COUNTIFS(Schedule!$A$4:$A$34,"Κυριακή",Schedule!$H$4:$H$34,$A62)+COUNTIFS(Schedule!$A$4:$A$34,"Κυριακή",Schedule!$I$4:$I$34,$A62)+COUNTIFS(Schedule!$A$4:$A$34,"Κυριακή",Schedule!$J$4:$J$34,$A62)+COUNTIFS(Schedule!$A$4:$A$34,"Κυριακή",Schedule!$K$4:$K$34,$A62)</f>
        <v/>
      </c>
      <c r="D62">
        <f>COUNTIF(Schedule!$C$4:$C$34,$A62)+COUNTIF(Schedule!$D$4:$D$34,$A62)+COUNTIF(Schedule!$E$4:$E$34,$A62)+COUNTIF(Schedule!$F$4:$F$34,$A62)</f>
        <v/>
      </c>
      <c r="E62">
        <f>COUNTIF(Schedule!$G$4:$G$34,$A62)+COUNTIF(Schedule!$H$4:$H$34,$A62)</f>
        <v/>
      </c>
      <c r="F62">
        <f>COUNTIF(Schedule!$I$4:$I$34,$A62)+COUNTIF(Schedule!$J$4:$J$34,$A62)</f>
        <v/>
      </c>
      <c r="G62">
        <f>COUNTIF(Schedule!$K$4:$K$34,$A62)</f>
        <v/>
      </c>
      <c r="H62">
        <f>COUNTIF(Schedule!$L$4:$L$34,$A62)</f>
        <v/>
      </c>
      <c r="I62">
        <f>COUNTIF(Schedule!$M$4:$M$34,$A62)</f>
        <v/>
      </c>
      <c r="J62">
        <f>SUM(H62:I62)</f>
        <v/>
      </c>
      <c r="K62">
        <f>IFERROR(IF(B62&lt;=VLOOKUP(TRIM($A62),Personnel!$A:$N,13,0),"OK","ΥΠΕΡΒΑΣΗ"),"!")</f>
        <v/>
      </c>
      <c r="L62">
        <f>IFERROR(IF(C62&lt;=VLOOKUP(TRIM($A62),Personnel!$A:$N,14,0),"OK","ΠΟΛΛΑ ΣΚ"),"!")</f>
        <v/>
      </c>
    </row>
    <row r="63">
      <c r="A63" t="inlineStr">
        <is>
          <t>ΜΑΣΟΥΡΗΣ ΚΩΝΣΤΑΝΤΙΝΟΣ</t>
        </is>
      </c>
      <c r="B63">
        <f>SUM(D63:G63)</f>
        <v/>
      </c>
      <c r="C63">
        <f>COUNTIFS(Schedule!$A$4:$A$34,"Σάββατο",Schedule!$C$4:$C$34,$A63)+COUNTIFS(Schedule!$A$4:$A$34,"Σάββατο",Schedule!$D$4:$D$34,$A63)+COUNTIFS(Schedule!$A$4:$A$34,"Σάββατο",Schedule!$E$4:$E$34,$A63)+COUNTIFS(Schedule!$A$4:$A$34,"Σάββατο",Schedule!$F$4:$F$34,$A63)+COUNTIFS(Schedule!$A$4:$A$34,"Σάββατο",Schedule!$G$4:$G$34,$A63)+COUNTIFS(Schedule!$A$4:$A$34,"Σάββατο",Schedule!$H$4:$H$34,$A63)+COUNTIFS(Schedule!$A$4:$A$34,"Σάββατο",Schedule!$I$4:$I$34,$A63)+COUNTIFS(Schedule!$A$4:$A$34,"Σάββατο",Schedule!$J$4:$J$34,$A63)+COUNTIFS(Schedule!$A$4:$A$34,"Σάββατο",Schedule!$K$4:$K$34,$A63)+COUNTIFS(Schedule!$A$4:$A$34,"Κυριακή",Schedule!$C$4:$C$34,$A63)+COUNTIFS(Schedule!$A$4:$A$34,"Κυριακή",Schedule!$D$4:$D$34,$A63)+COUNTIFS(Schedule!$A$4:$A$34,"Κυριακή",Schedule!$E$4:$E$34,$A63)+COUNTIFS(Schedule!$A$4:$A$34,"Κυριακή",Schedule!$F$4:$F$34,$A63)+COUNTIFS(Schedule!$A$4:$A$34,"Κυριακή",Schedule!$G$4:$G$34,$A63)+COUNTIFS(Schedule!$A$4:$A$34,"Κυριακή",Schedule!$H$4:$H$34,$A63)+COUNTIFS(Schedule!$A$4:$A$34,"Κυριακή",Schedule!$I$4:$I$34,$A63)+COUNTIFS(Schedule!$A$4:$A$34,"Κυριακή",Schedule!$J$4:$J$34,$A63)+COUNTIFS(Schedule!$A$4:$A$34,"Κυριακή",Schedule!$K$4:$K$34,$A63)</f>
        <v/>
      </c>
      <c r="D63">
        <f>COUNTIF(Schedule!$C$4:$C$34,$A63)+COUNTIF(Schedule!$D$4:$D$34,$A63)+COUNTIF(Schedule!$E$4:$E$34,$A63)+COUNTIF(Schedule!$F$4:$F$34,$A63)</f>
        <v/>
      </c>
      <c r="E63">
        <f>COUNTIF(Schedule!$G$4:$G$34,$A63)+COUNTIF(Schedule!$H$4:$H$34,$A63)</f>
        <v/>
      </c>
      <c r="F63">
        <f>COUNTIF(Schedule!$I$4:$I$34,$A63)+COUNTIF(Schedule!$J$4:$J$34,$A63)</f>
        <v/>
      </c>
      <c r="G63">
        <f>COUNTIF(Schedule!$K$4:$K$34,$A63)</f>
        <v/>
      </c>
      <c r="H63">
        <f>COUNTIF(Schedule!$L$4:$L$34,$A63)</f>
        <v/>
      </c>
      <c r="I63">
        <f>COUNTIF(Schedule!$M$4:$M$34,$A63)</f>
        <v/>
      </c>
      <c r="J63">
        <f>SUM(H63:I63)</f>
        <v/>
      </c>
      <c r="K63">
        <f>IFERROR(IF(B63&lt;=VLOOKUP(TRIM($A63),Personnel!$A:$N,13,0),"OK","ΥΠΕΡΒΑΣΗ"),"!")</f>
        <v/>
      </c>
      <c r="L63">
        <f>IFERROR(IF(C63&lt;=VLOOKUP(TRIM($A63),Personnel!$A:$N,14,0),"OK","ΠΟΛΛΑ ΣΚ"),"!")</f>
        <v/>
      </c>
    </row>
    <row r="64">
      <c r="A64" t="inlineStr">
        <is>
          <t>ΓΚΙΟΝΑΙ ΟΡΕΣΤΗ</t>
        </is>
      </c>
      <c r="B64">
        <f>SUM(D64:G64)</f>
        <v/>
      </c>
      <c r="C64">
        <f>COUNTIFS(Schedule!$A$4:$A$34,"Σάββατο",Schedule!$C$4:$C$34,$A64)+COUNTIFS(Schedule!$A$4:$A$34,"Σάββατο",Schedule!$D$4:$D$34,$A64)+COUNTIFS(Schedule!$A$4:$A$34,"Σάββατο",Schedule!$E$4:$E$34,$A64)+COUNTIFS(Schedule!$A$4:$A$34,"Σάββατο",Schedule!$F$4:$F$34,$A64)+COUNTIFS(Schedule!$A$4:$A$34,"Σάββατο",Schedule!$G$4:$G$34,$A64)+COUNTIFS(Schedule!$A$4:$A$34,"Σάββατο",Schedule!$H$4:$H$34,$A64)+COUNTIFS(Schedule!$A$4:$A$34,"Σάββατο",Schedule!$I$4:$I$34,$A64)+COUNTIFS(Schedule!$A$4:$A$34,"Σάββατο",Schedule!$J$4:$J$34,$A64)+COUNTIFS(Schedule!$A$4:$A$34,"Σάββατο",Schedule!$K$4:$K$34,$A64)+COUNTIFS(Schedule!$A$4:$A$34,"Κυριακή",Schedule!$C$4:$C$34,$A64)+COUNTIFS(Schedule!$A$4:$A$34,"Κυριακή",Schedule!$D$4:$D$34,$A64)+COUNTIFS(Schedule!$A$4:$A$34,"Κυριακή",Schedule!$E$4:$E$34,$A64)+COUNTIFS(Schedule!$A$4:$A$34,"Κυριακή",Schedule!$F$4:$F$34,$A64)+COUNTIFS(Schedule!$A$4:$A$34,"Κυριακή",Schedule!$G$4:$G$34,$A64)+COUNTIFS(Schedule!$A$4:$A$34,"Κυριακή",Schedule!$H$4:$H$34,$A64)+COUNTIFS(Schedule!$A$4:$A$34,"Κυριακή",Schedule!$I$4:$I$34,$A64)+COUNTIFS(Schedule!$A$4:$A$34,"Κυριακή",Schedule!$J$4:$J$34,$A64)+COUNTIFS(Schedule!$A$4:$A$34,"Κυριακή",Schedule!$K$4:$K$34,$A64)</f>
        <v/>
      </c>
      <c r="D64">
        <f>COUNTIF(Schedule!$C$4:$C$34,$A64)+COUNTIF(Schedule!$D$4:$D$34,$A64)+COUNTIF(Schedule!$E$4:$E$34,$A64)+COUNTIF(Schedule!$F$4:$F$34,$A64)</f>
        <v/>
      </c>
      <c r="E64">
        <f>COUNTIF(Schedule!$G$4:$G$34,$A64)+COUNTIF(Schedule!$H$4:$H$34,$A64)</f>
        <v/>
      </c>
      <c r="F64">
        <f>COUNTIF(Schedule!$I$4:$I$34,$A64)+COUNTIF(Schedule!$J$4:$J$34,$A64)</f>
        <v/>
      </c>
      <c r="G64">
        <f>COUNTIF(Schedule!$K$4:$K$34,$A64)</f>
        <v/>
      </c>
      <c r="H64">
        <f>COUNTIF(Schedule!$L$4:$L$34,$A64)</f>
        <v/>
      </c>
      <c r="I64">
        <f>COUNTIF(Schedule!$M$4:$M$34,$A64)</f>
        <v/>
      </c>
      <c r="J64">
        <f>SUM(H64:I64)</f>
        <v/>
      </c>
      <c r="K64">
        <f>IFERROR(IF(B64&lt;=VLOOKUP(TRIM($A64),Personnel!$A:$N,13,0),"OK","ΥΠΕΡΒΑΣΗ"),"!")</f>
        <v/>
      </c>
      <c r="L64">
        <f>IFERROR(IF(C64&lt;=VLOOKUP(TRIM($A64),Personnel!$A:$N,14,0),"OK","ΠΟΛΛΑ ΣΚ"),"!")</f>
        <v/>
      </c>
    </row>
    <row r="65">
      <c r="A65" t="inlineStr">
        <is>
          <t>ΤΣΟΡΩΤΑΣ ΧΑΡΑΛΑΜΠΟΣ (Ι3 ΑΟΠΛΟ)</t>
        </is>
      </c>
      <c r="B65">
        <f>SUM(D65:G65)</f>
        <v/>
      </c>
      <c r="C65">
        <f>COUNTIFS(Schedule!$A$4:$A$34,"Σάββατο",Schedule!$C$4:$C$34,$A65)+COUNTIFS(Schedule!$A$4:$A$34,"Σάββατο",Schedule!$D$4:$D$34,$A65)+COUNTIFS(Schedule!$A$4:$A$34,"Σάββατο",Schedule!$E$4:$E$34,$A65)+COUNTIFS(Schedule!$A$4:$A$34,"Σάββατο",Schedule!$F$4:$F$34,$A65)+COUNTIFS(Schedule!$A$4:$A$34,"Σάββατο",Schedule!$G$4:$G$34,$A65)+COUNTIFS(Schedule!$A$4:$A$34,"Σάββατο",Schedule!$H$4:$H$34,$A65)+COUNTIFS(Schedule!$A$4:$A$34,"Σάββατο",Schedule!$I$4:$I$34,$A65)+COUNTIFS(Schedule!$A$4:$A$34,"Σάββατο",Schedule!$J$4:$J$34,$A65)+COUNTIFS(Schedule!$A$4:$A$34,"Σάββατο",Schedule!$K$4:$K$34,$A65)+COUNTIFS(Schedule!$A$4:$A$34,"Κυριακή",Schedule!$C$4:$C$34,$A65)+COUNTIFS(Schedule!$A$4:$A$34,"Κυριακή",Schedule!$D$4:$D$34,$A65)+COUNTIFS(Schedule!$A$4:$A$34,"Κυριακή",Schedule!$E$4:$E$34,$A65)+COUNTIFS(Schedule!$A$4:$A$34,"Κυριακή",Schedule!$F$4:$F$34,$A65)+COUNTIFS(Schedule!$A$4:$A$34,"Κυριακή",Schedule!$G$4:$G$34,$A65)+COUNTIFS(Schedule!$A$4:$A$34,"Κυριακή",Schedule!$H$4:$H$34,$A65)+COUNTIFS(Schedule!$A$4:$A$34,"Κυριακή",Schedule!$I$4:$I$34,$A65)+COUNTIFS(Schedule!$A$4:$A$34,"Κυριακή",Schedule!$J$4:$J$34,$A65)+COUNTIFS(Schedule!$A$4:$A$34,"Κυριακή",Schedule!$K$4:$K$34,$A65)</f>
        <v/>
      </c>
      <c r="D65">
        <f>COUNTIF(Schedule!$C$4:$C$34,$A65)+COUNTIF(Schedule!$D$4:$D$34,$A65)+COUNTIF(Schedule!$E$4:$E$34,$A65)+COUNTIF(Schedule!$F$4:$F$34,$A65)</f>
        <v/>
      </c>
      <c r="E65">
        <f>COUNTIF(Schedule!$G$4:$G$34,$A65)+COUNTIF(Schedule!$H$4:$H$34,$A65)</f>
        <v/>
      </c>
      <c r="F65">
        <f>COUNTIF(Schedule!$I$4:$I$34,$A65)+COUNTIF(Schedule!$J$4:$J$34,$A65)</f>
        <v/>
      </c>
      <c r="G65">
        <f>COUNTIF(Schedule!$K$4:$K$34,$A65)</f>
        <v/>
      </c>
      <c r="H65">
        <f>COUNTIF(Schedule!$L$4:$L$34,$A65)</f>
        <v/>
      </c>
      <c r="I65">
        <f>COUNTIF(Schedule!$M$4:$M$34,$A65)</f>
        <v/>
      </c>
      <c r="J65">
        <f>SUM(H65:I65)</f>
        <v/>
      </c>
      <c r="K65">
        <f>IFERROR(IF(B65&lt;=VLOOKUP(TRIM($A65),Personnel!$A:$N,13,0),"OK","ΥΠΕΡΒΑΣΗ"),"!")</f>
        <v/>
      </c>
      <c r="L65">
        <f>IFERROR(IF(C65&lt;=VLOOKUP(TRIM($A65),Personnel!$A:$N,14,0),"OK","ΠΟΛΛΑ ΣΚ"),"!")</f>
        <v/>
      </c>
    </row>
    <row r="66">
      <c r="A66" t="inlineStr">
        <is>
          <t>ΔΑΡΜΑΡΑΚΗΣ ΠΑΝΑΓΙΩΤΗΣ (ΜΟΝΟ ΚΑΘΗΜ)</t>
        </is>
      </c>
      <c r="B66">
        <f>SUM(D66:G66)</f>
        <v/>
      </c>
      <c r="C66">
        <f>COUNTIFS(Schedule!$A$4:$A$34,"Σάββατο",Schedule!$C$4:$C$34,$A66)+COUNTIFS(Schedule!$A$4:$A$34,"Σάββατο",Schedule!$D$4:$D$34,$A66)+COUNTIFS(Schedule!$A$4:$A$34,"Σάββατο",Schedule!$E$4:$E$34,$A66)+COUNTIFS(Schedule!$A$4:$A$34,"Σάββατο",Schedule!$F$4:$F$34,$A66)+COUNTIFS(Schedule!$A$4:$A$34,"Σάββατο",Schedule!$G$4:$G$34,$A66)+COUNTIFS(Schedule!$A$4:$A$34,"Σάββατο",Schedule!$H$4:$H$34,$A66)+COUNTIFS(Schedule!$A$4:$A$34,"Σάββατο",Schedule!$I$4:$I$34,$A66)+COUNTIFS(Schedule!$A$4:$A$34,"Σάββατο",Schedule!$J$4:$J$34,$A66)+COUNTIFS(Schedule!$A$4:$A$34,"Σάββατο",Schedule!$K$4:$K$34,$A66)+COUNTIFS(Schedule!$A$4:$A$34,"Κυριακή",Schedule!$C$4:$C$34,$A66)+COUNTIFS(Schedule!$A$4:$A$34,"Κυριακή",Schedule!$D$4:$D$34,$A66)+COUNTIFS(Schedule!$A$4:$A$34,"Κυριακή",Schedule!$E$4:$E$34,$A66)+COUNTIFS(Schedule!$A$4:$A$34,"Κυριακή",Schedule!$F$4:$F$34,$A66)+COUNTIFS(Schedule!$A$4:$A$34,"Κυριακή",Schedule!$G$4:$G$34,$A66)+COUNTIFS(Schedule!$A$4:$A$34,"Κυριακή",Schedule!$H$4:$H$34,$A66)+COUNTIFS(Schedule!$A$4:$A$34,"Κυριακή",Schedule!$I$4:$I$34,$A66)+COUNTIFS(Schedule!$A$4:$A$34,"Κυριακή",Schedule!$J$4:$J$34,$A66)+COUNTIFS(Schedule!$A$4:$A$34,"Κυριακή",Schedule!$K$4:$K$34,$A66)</f>
        <v/>
      </c>
      <c r="D66">
        <f>COUNTIF(Schedule!$C$4:$C$34,$A66)+COUNTIF(Schedule!$D$4:$D$34,$A66)+COUNTIF(Schedule!$E$4:$E$34,$A66)+COUNTIF(Schedule!$F$4:$F$34,$A66)</f>
        <v/>
      </c>
      <c r="E66">
        <f>COUNTIF(Schedule!$G$4:$G$34,$A66)+COUNTIF(Schedule!$H$4:$H$34,$A66)</f>
        <v/>
      </c>
      <c r="F66">
        <f>COUNTIF(Schedule!$I$4:$I$34,$A66)+COUNTIF(Schedule!$J$4:$J$34,$A66)</f>
        <v/>
      </c>
      <c r="G66">
        <f>COUNTIF(Schedule!$K$4:$K$34,$A66)</f>
        <v/>
      </c>
      <c r="H66">
        <f>COUNTIF(Schedule!$L$4:$L$34,$A66)</f>
        <v/>
      </c>
      <c r="I66">
        <f>COUNTIF(Schedule!$M$4:$M$34,$A66)</f>
        <v/>
      </c>
      <c r="J66">
        <f>SUM(H66:I66)</f>
        <v/>
      </c>
      <c r="K66">
        <f>IFERROR(IF(B66&lt;=VLOOKUP(TRIM($A66),Personnel!$A:$N,13,0),"OK","ΥΠΕΡΒΑΣΗ"),"!")</f>
        <v/>
      </c>
      <c r="L66">
        <f>IFERROR(IF(C66&lt;=VLOOKUP(TRIM($A66),Personnel!$A:$N,14,0),"OK","ΠΟΛΛΑ ΣΚ"),"!")</f>
        <v/>
      </c>
    </row>
    <row r="67">
      <c r="A67" t="inlineStr">
        <is>
          <t>ΚΤΕΝΑΣ ΘΩΜΑΣ (ΜΟΝΟ ΚΑΘΗΜ)</t>
        </is>
      </c>
      <c r="B67">
        <f>SUM(D67:G67)</f>
        <v/>
      </c>
      <c r="C67">
        <f>COUNTIFS(Schedule!$A$4:$A$34,"Σάββατο",Schedule!$C$4:$C$34,$A67)+COUNTIFS(Schedule!$A$4:$A$34,"Σάββατο",Schedule!$D$4:$D$34,$A67)+COUNTIFS(Schedule!$A$4:$A$34,"Σάββατο",Schedule!$E$4:$E$34,$A67)+COUNTIFS(Schedule!$A$4:$A$34,"Σάββατο",Schedule!$F$4:$F$34,$A67)+COUNTIFS(Schedule!$A$4:$A$34,"Σάββατο",Schedule!$G$4:$G$34,$A67)+COUNTIFS(Schedule!$A$4:$A$34,"Σάββατο",Schedule!$H$4:$H$34,$A67)+COUNTIFS(Schedule!$A$4:$A$34,"Σάββατο",Schedule!$I$4:$I$34,$A67)+COUNTIFS(Schedule!$A$4:$A$34,"Σάββατο",Schedule!$J$4:$J$34,$A67)+COUNTIFS(Schedule!$A$4:$A$34,"Σάββατο",Schedule!$K$4:$K$34,$A67)+COUNTIFS(Schedule!$A$4:$A$34,"Κυριακή",Schedule!$C$4:$C$34,$A67)+COUNTIFS(Schedule!$A$4:$A$34,"Κυριακή",Schedule!$D$4:$D$34,$A67)+COUNTIFS(Schedule!$A$4:$A$34,"Κυριακή",Schedule!$E$4:$E$34,$A67)+COUNTIFS(Schedule!$A$4:$A$34,"Κυριακή",Schedule!$F$4:$F$34,$A67)+COUNTIFS(Schedule!$A$4:$A$34,"Κυριακή",Schedule!$G$4:$G$34,$A67)+COUNTIFS(Schedule!$A$4:$A$34,"Κυριακή",Schedule!$H$4:$H$34,$A67)+COUNTIFS(Schedule!$A$4:$A$34,"Κυριακή",Schedule!$I$4:$I$34,$A67)+COUNTIFS(Schedule!$A$4:$A$34,"Κυριακή",Schedule!$J$4:$J$34,$A67)+COUNTIFS(Schedule!$A$4:$A$34,"Κυριακή",Schedule!$K$4:$K$34,$A67)</f>
        <v/>
      </c>
      <c r="D67">
        <f>COUNTIF(Schedule!$C$4:$C$34,$A67)+COUNTIF(Schedule!$D$4:$D$34,$A67)+COUNTIF(Schedule!$E$4:$E$34,$A67)+COUNTIF(Schedule!$F$4:$F$34,$A67)</f>
        <v/>
      </c>
      <c r="E67">
        <f>COUNTIF(Schedule!$G$4:$G$34,$A67)+COUNTIF(Schedule!$H$4:$H$34,$A67)</f>
        <v/>
      </c>
      <c r="F67">
        <f>COUNTIF(Schedule!$I$4:$I$34,$A67)+COUNTIF(Schedule!$J$4:$J$34,$A67)</f>
        <v/>
      </c>
      <c r="G67">
        <f>COUNTIF(Schedule!$K$4:$K$34,$A67)</f>
        <v/>
      </c>
      <c r="H67">
        <f>COUNTIF(Schedule!$L$4:$L$34,$A67)</f>
        <v/>
      </c>
      <c r="I67">
        <f>COUNTIF(Schedule!$M$4:$M$34,$A67)</f>
        <v/>
      </c>
      <c r="J67">
        <f>SUM(H67:I67)</f>
        <v/>
      </c>
      <c r="K67">
        <f>IFERROR(IF(B67&lt;=VLOOKUP(TRIM($A67),Personnel!$A:$N,13,0),"OK","ΥΠΕΡΒΑΣΗ"),"!")</f>
        <v/>
      </c>
      <c r="L67">
        <f>IFERROR(IF(C67&lt;=VLOOKUP(TRIM($A67),Personnel!$A:$N,14,0),"OK","ΠΟΛΛΑ ΣΚ"),"!")</f>
        <v/>
      </c>
    </row>
    <row r="68">
      <c r="A68" t="inlineStr">
        <is>
          <t>ΑΠΟΣΤΟΛΟΥ ΚΩΝΣΤΑΝΤΙΝΟΣ</t>
        </is>
      </c>
      <c r="B68">
        <f>SUM(D68:G68)</f>
        <v/>
      </c>
      <c r="C68">
        <f>COUNTIFS(Schedule!$A$4:$A$34,"Σάββατο",Schedule!$C$4:$C$34,$A68)+COUNTIFS(Schedule!$A$4:$A$34,"Σάββατο",Schedule!$D$4:$D$34,$A68)+COUNTIFS(Schedule!$A$4:$A$34,"Σάββατο",Schedule!$E$4:$E$34,$A68)+COUNTIFS(Schedule!$A$4:$A$34,"Σάββατο",Schedule!$F$4:$F$34,$A68)+COUNTIFS(Schedule!$A$4:$A$34,"Σάββατο",Schedule!$G$4:$G$34,$A68)+COUNTIFS(Schedule!$A$4:$A$34,"Σάββατο",Schedule!$H$4:$H$34,$A68)+COUNTIFS(Schedule!$A$4:$A$34,"Σάββατο",Schedule!$I$4:$I$34,$A68)+COUNTIFS(Schedule!$A$4:$A$34,"Σάββατο",Schedule!$J$4:$J$34,$A68)+COUNTIFS(Schedule!$A$4:$A$34,"Σάββατο",Schedule!$K$4:$K$34,$A68)+COUNTIFS(Schedule!$A$4:$A$34,"Κυριακή",Schedule!$C$4:$C$34,$A68)+COUNTIFS(Schedule!$A$4:$A$34,"Κυριακή",Schedule!$D$4:$D$34,$A68)+COUNTIFS(Schedule!$A$4:$A$34,"Κυριακή",Schedule!$E$4:$E$34,$A68)+COUNTIFS(Schedule!$A$4:$A$34,"Κυριακή",Schedule!$F$4:$F$34,$A68)+COUNTIFS(Schedule!$A$4:$A$34,"Κυριακή",Schedule!$G$4:$G$34,$A68)+COUNTIFS(Schedule!$A$4:$A$34,"Κυριακή",Schedule!$H$4:$H$34,$A68)+COUNTIFS(Schedule!$A$4:$A$34,"Κυριακή",Schedule!$I$4:$I$34,$A68)+COUNTIFS(Schedule!$A$4:$A$34,"Κυριακή",Schedule!$J$4:$J$34,$A68)+COUNTIFS(Schedule!$A$4:$A$34,"Κυριακή",Schedule!$K$4:$K$34,$A68)</f>
        <v/>
      </c>
      <c r="D68">
        <f>COUNTIF(Schedule!$C$4:$C$34,$A68)+COUNTIF(Schedule!$D$4:$D$34,$A68)+COUNTIF(Schedule!$E$4:$E$34,$A68)+COUNTIF(Schedule!$F$4:$F$34,$A68)</f>
        <v/>
      </c>
      <c r="E68">
        <f>COUNTIF(Schedule!$G$4:$G$34,$A68)+COUNTIF(Schedule!$H$4:$H$34,$A68)</f>
        <v/>
      </c>
      <c r="F68">
        <f>COUNTIF(Schedule!$I$4:$I$34,$A68)+COUNTIF(Schedule!$J$4:$J$34,$A68)</f>
        <v/>
      </c>
      <c r="G68">
        <f>COUNTIF(Schedule!$K$4:$K$34,$A68)</f>
        <v/>
      </c>
      <c r="H68">
        <f>COUNTIF(Schedule!$L$4:$L$34,$A68)</f>
        <v/>
      </c>
      <c r="I68">
        <f>COUNTIF(Schedule!$M$4:$M$34,$A68)</f>
        <v/>
      </c>
      <c r="J68">
        <f>SUM(H68:I68)</f>
        <v/>
      </c>
      <c r="K68">
        <f>IFERROR(IF(B68&lt;=VLOOKUP(TRIM($A68),Personnel!$A:$N,13,0),"OK","ΥΠΕΡΒΑΣΗ"),"!")</f>
        <v/>
      </c>
      <c r="L68">
        <f>IFERROR(IF(C68&lt;=VLOOKUP(TRIM($A68),Personnel!$A:$N,14,0),"OK","ΠΟΛΛΑ ΣΚ"),"!")</f>
        <v/>
      </c>
    </row>
    <row r="69">
      <c r="A69" t="inlineStr">
        <is>
          <t>ΕΛΕΥΘΕΡΙΟΥ ΑΝΤΩΝΙΟΣ</t>
        </is>
      </c>
      <c r="B69">
        <f>SUM(D69:G69)</f>
        <v/>
      </c>
      <c r="C69">
        <f>COUNTIFS(Schedule!$A$4:$A$34,"Σάββατο",Schedule!$C$4:$C$34,$A69)+COUNTIFS(Schedule!$A$4:$A$34,"Σάββατο",Schedule!$D$4:$D$34,$A69)+COUNTIFS(Schedule!$A$4:$A$34,"Σάββατο",Schedule!$E$4:$E$34,$A69)+COUNTIFS(Schedule!$A$4:$A$34,"Σάββατο",Schedule!$F$4:$F$34,$A69)+COUNTIFS(Schedule!$A$4:$A$34,"Σάββατο",Schedule!$G$4:$G$34,$A69)+COUNTIFS(Schedule!$A$4:$A$34,"Σάββατο",Schedule!$H$4:$H$34,$A69)+COUNTIFS(Schedule!$A$4:$A$34,"Σάββατο",Schedule!$I$4:$I$34,$A69)+COUNTIFS(Schedule!$A$4:$A$34,"Σάββατο",Schedule!$J$4:$J$34,$A69)+COUNTIFS(Schedule!$A$4:$A$34,"Σάββατο",Schedule!$K$4:$K$34,$A69)+COUNTIFS(Schedule!$A$4:$A$34,"Κυριακή",Schedule!$C$4:$C$34,$A69)+COUNTIFS(Schedule!$A$4:$A$34,"Κυριακή",Schedule!$D$4:$D$34,$A69)+COUNTIFS(Schedule!$A$4:$A$34,"Κυριακή",Schedule!$E$4:$E$34,$A69)+COUNTIFS(Schedule!$A$4:$A$34,"Κυριακή",Schedule!$F$4:$F$34,$A69)+COUNTIFS(Schedule!$A$4:$A$34,"Κυριακή",Schedule!$G$4:$G$34,$A69)+COUNTIFS(Schedule!$A$4:$A$34,"Κυριακή",Schedule!$H$4:$H$34,$A69)+COUNTIFS(Schedule!$A$4:$A$34,"Κυριακή",Schedule!$I$4:$I$34,$A69)+COUNTIFS(Schedule!$A$4:$A$34,"Κυριακή",Schedule!$J$4:$J$34,$A69)+COUNTIFS(Schedule!$A$4:$A$34,"Κυριακή",Schedule!$K$4:$K$34,$A69)</f>
        <v/>
      </c>
      <c r="D69">
        <f>COUNTIF(Schedule!$C$4:$C$34,$A69)+COUNTIF(Schedule!$D$4:$D$34,$A69)+COUNTIF(Schedule!$E$4:$E$34,$A69)+COUNTIF(Schedule!$F$4:$F$34,$A69)</f>
        <v/>
      </c>
      <c r="E69">
        <f>COUNTIF(Schedule!$G$4:$G$34,$A69)+COUNTIF(Schedule!$H$4:$H$34,$A69)</f>
        <v/>
      </c>
      <c r="F69">
        <f>COUNTIF(Schedule!$I$4:$I$34,$A69)+COUNTIF(Schedule!$J$4:$J$34,$A69)</f>
        <v/>
      </c>
      <c r="G69">
        <f>COUNTIF(Schedule!$K$4:$K$34,$A69)</f>
        <v/>
      </c>
      <c r="H69">
        <f>COUNTIF(Schedule!$L$4:$L$34,$A69)</f>
        <v/>
      </c>
      <c r="I69">
        <f>COUNTIF(Schedule!$M$4:$M$34,$A69)</f>
        <v/>
      </c>
      <c r="J69">
        <f>SUM(H69:I69)</f>
        <v/>
      </c>
      <c r="K69">
        <f>IFERROR(IF(B69&lt;=VLOOKUP(TRIM($A69),Personnel!$A:$N,13,0),"OK","ΥΠΕΡΒΑΣΗ"),"!")</f>
        <v/>
      </c>
      <c r="L69">
        <f>IFERROR(IF(C69&lt;=VLOOKUP(TRIM($A69),Personnel!$A:$N,14,0),"OK","ΠΟΛΛΑ ΣΚ"),"!")</f>
        <v/>
      </c>
    </row>
    <row r="70">
      <c r="A70" t="inlineStr">
        <is>
          <t>ΠΕΡΡΑΚΗΣ ΦΑΙΔΩΝ ΑΘΑΝΑΣΙΟΣ (ΑΝΑΡΩΤΙΚΗ)</t>
        </is>
      </c>
      <c r="B70">
        <f>SUM(D70:G70)</f>
        <v/>
      </c>
      <c r="C70">
        <f>COUNTIFS(Schedule!$A$4:$A$34,"Σάββατο",Schedule!$C$4:$C$34,$A70)+COUNTIFS(Schedule!$A$4:$A$34,"Σάββατο",Schedule!$D$4:$D$34,$A70)+COUNTIFS(Schedule!$A$4:$A$34,"Σάββατο",Schedule!$E$4:$E$34,$A70)+COUNTIFS(Schedule!$A$4:$A$34,"Σάββατο",Schedule!$F$4:$F$34,$A70)+COUNTIFS(Schedule!$A$4:$A$34,"Σάββατο",Schedule!$G$4:$G$34,$A70)+COUNTIFS(Schedule!$A$4:$A$34,"Σάββατο",Schedule!$H$4:$H$34,$A70)+COUNTIFS(Schedule!$A$4:$A$34,"Σάββατο",Schedule!$I$4:$I$34,$A70)+COUNTIFS(Schedule!$A$4:$A$34,"Σάββατο",Schedule!$J$4:$J$34,$A70)+COUNTIFS(Schedule!$A$4:$A$34,"Σάββατο",Schedule!$K$4:$K$34,$A70)+COUNTIFS(Schedule!$A$4:$A$34,"Κυριακή",Schedule!$C$4:$C$34,$A70)+COUNTIFS(Schedule!$A$4:$A$34,"Κυριακή",Schedule!$D$4:$D$34,$A70)+COUNTIFS(Schedule!$A$4:$A$34,"Κυριακή",Schedule!$E$4:$E$34,$A70)+COUNTIFS(Schedule!$A$4:$A$34,"Κυριακή",Schedule!$F$4:$F$34,$A70)+COUNTIFS(Schedule!$A$4:$A$34,"Κυριακή",Schedule!$G$4:$G$34,$A70)+COUNTIFS(Schedule!$A$4:$A$34,"Κυριακή",Schedule!$H$4:$H$34,$A70)+COUNTIFS(Schedule!$A$4:$A$34,"Κυριακή",Schedule!$I$4:$I$34,$A70)+COUNTIFS(Schedule!$A$4:$A$34,"Κυριακή",Schedule!$J$4:$J$34,$A70)+COUNTIFS(Schedule!$A$4:$A$34,"Κυριακή",Schedule!$K$4:$K$34,$A70)</f>
        <v/>
      </c>
      <c r="D70">
        <f>COUNTIF(Schedule!$C$4:$C$34,$A70)+COUNTIF(Schedule!$D$4:$D$34,$A70)+COUNTIF(Schedule!$E$4:$E$34,$A70)+COUNTIF(Schedule!$F$4:$F$34,$A70)</f>
        <v/>
      </c>
      <c r="E70">
        <f>COUNTIF(Schedule!$G$4:$G$34,$A70)+COUNTIF(Schedule!$H$4:$H$34,$A70)</f>
        <v/>
      </c>
      <c r="F70">
        <f>COUNTIF(Schedule!$I$4:$I$34,$A70)+COUNTIF(Schedule!$J$4:$J$34,$A70)</f>
        <v/>
      </c>
      <c r="G70">
        <f>COUNTIF(Schedule!$K$4:$K$34,$A70)</f>
        <v/>
      </c>
      <c r="H70">
        <f>COUNTIF(Schedule!$L$4:$L$34,$A70)</f>
        <v/>
      </c>
      <c r="I70">
        <f>COUNTIF(Schedule!$M$4:$M$34,$A70)</f>
        <v/>
      </c>
      <c r="J70">
        <f>SUM(H70:I70)</f>
        <v/>
      </c>
      <c r="K70">
        <f>IFERROR(IF(B70&lt;=VLOOKUP(TRIM($A70),Personnel!$A:$N,13,0),"OK","ΥΠΕΡΒΑΣΗ"),"!")</f>
        <v/>
      </c>
      <c r="L70">
        <f>IFERROR(IF(C70&lt;=VLOOKUP(TRIM($A70),Personnel!$A:$N,14,0),"OK","ΠΟΛΛΑ ΣΚ"),"!")</f>
        <v/>
      </c>
    </row>
    <row r="71">
      <c r="A71" t="inlineStr">
        <is>
          <t>ΦΟΥΝΤΟΡΑΔΑΚΗΣ ΙΩΣΗΦ (ΠΡΟΤΙΜΗΣΗ ΠΑΡΑΣΚΕΥΗ)</t>
        </is>
      </c>
      <c r="B71">
        <f>SUM(D71:G71)</f>
        <v/>
      </c>
      <c r="C71">
        <f>COUNTIFS(Schedule!$A$4:$A$34,"Σάββατο",Schedule!$C$4:$C$34,$A71)+COUNTIFS(Schedule!$A$4:$A$34,"Σάββατο",Schedule!$D$4:$D$34,$A71)+COUNTIFS(Schedule!$A$4:$A$34,"Σάββατο",Schedule!$E$4:$E$34,$A71)+COUNTIFS(Schedule!$A$4:$A$34,"Σάββατο",Schedule!$F$4:$F$34,$A71)+COUNTIFS(Schedule!$A$4:$A$34,"Σάββατο",Schedule!$G$4:$G$34,$A71)+COUNTIFS(Schedule!$A$4:$A$34,"Σάββατο",Schedule!$H$4:$H$34,$A71)+COUNTIFS(Schedule!$A$4:$A$34,"Σάββατο",Schedule!$I$4:$I$34,$A71)+COUNTIFS(Schedule!$A$4:$A$34,"Σάββατο",Schedule!$J$4:$J$34,$A71)+COUNTIFS(Schedule!$A$4:$A$34,"Σάββατο",Schedule!$K$4:$K$34,$A71)+COUNTIFS(Schedule!$A$4:$A$34,"Κυριακή",Schedule!$C$4:$C$34,$A71)+COUNTIFS(Schedule!$A$4:$A$34,"Κυριακή",Schedule!$D$4:$D$34,$A71)+COUNTIFS(Schedule!$A$4:$A$34,"Κυριακή",Schedule!$E$4:$E$34,$A71)+COUNTIFS(Schedule!$A$4:$A$34,"Κυριακή",Schedule!$F$4:$F$34,$A71)+COUNTIFS(Schedule!$A$4:$A$34,"Κυριακή",Schedule!$G$4:$G$34,$A71)+COUNTIFS(Schedule!$A$4:$A$34,"Κυριακή",Schedule!$H$4:$H$34,$A71)+COUNTIFS(Schedule!$A$4:$A$34,"Κυριακή",Schedule!$I$4:$I$34,$A71)+COUNTIFS(Schedule!$A$4:$A$34,"Κυριακή",Schedule!$J$4:$J$34,$A71)+COUNTIFS(Schedule!$A$4:$A$34,"Κυριακή",Schedule!$K$4:$K$34,$A71)</f>
        <v/>
      </c>
      <c r="D71">
        <f>COUNTIF(Schedule!$C$4:$C$34,$A71)+COUNTIF(Schedule!$D$4:$D$34,$A71)+COUNTIF(Schedule!$E$4:$E$34,$A71)+COUNTIF(Schedule!$F$4:$F$34,$A71)</f>
        <v/>
      </c>
      <c r="E71">
        <f>COUNTIF(Schedule!$G$4:$G$34,$A71)+COUNTIF(Schedule!$H$4:$H$34,$A71)</f>
        <v/>
      </c>
      <c r="F71">
        <f>COUNTIF(Schedule!$I$4:$I$34,$A71)+COUNTIF(Schedule!$J$4:$J$34,$A71)</f>
        <v/>
      </c>
      <c r="G71">
        <f>COUNTIF(Schedule!$K$4:$K$34,$A71)</f>
        <v/>
      </c>
      <c r="H71">
        <f>COUNTIF(Schedule!$L$4:$L$34,$A71)</f>
        <v/>
      </c>
      <c r="I71">
        <f>COUNTIF(Schedule!$M$4:$M$34,$A71)</f>
        <v/>
      </c>
      <c r="J71">
        <f>SUM(H71:I71)</f>
        <v/>
      </c>
      <c r="K71">
        <f>IFERROR(IF(B71&lt;=VLOOKUP(TRIM($A71),Personnel!$A:$N,13,0),"OK","ΥΠΕΡΒΑΣΗ"),"!")</f>
        <v/>
      </c>
      <c r="L71">
        <f>IFERROR(IF(C71&lt;=VLOOKUP(TRIM($A71),Personnel!$A:$N,14,0),"OK","ΠΟΛΛΑ ΣΚ"),"!")</f>
        <v/>
      </c>
    </row>
    <row r="72">
      <c r="A72" t="inlineStr">
        <is>
          <t>ΧΙΟΝΑΣ ΔΗΜΗΤΡΙΟΣ</t>
        </is>
      </c>
      <c r="B72">
        <f>SUM(D72:G72)</f>
        <v/>
      </c>
      <c r="C72">
        <f>COUNTIFS(Schedule!$A$4:$A$34,"Σάββατο",Schedule!$C$4:$C$34,$A72)+COUNTIFS(Schedule!$A$4:$A$34,"Σάββατο",Schedule!$D$4:$D$34,$A72)+COUNTIFS(Schedule!$A$4:$A$34,"Σάββατο",Schedule!$E$4:$E$34,$A72)+COUNTIFS(Schedule!$A$4:$A$34,"Σάββατο",Schedule!$F$4:$F$34,$A72)+COUNTIFS(Schedule!$A$4:$A$34,"Σάββατο",Schedule!$G$4:$G$34,$A72)+COUNTIFS(Schedule!$A$4:$A$34,"Σάββατο",Schedule!$H$4:$H$34,$A72)+COUNTIFS(Schedule!$A$4:$A$34,"Σάββατο",Schedule!$I$4:$I$34,$A72)+COUNTIFS(Schedule!$A$4:$A$34,"Σάββατο",Schedule!$J$4:$J$34,$A72)+COUNTIFS(Schedule!$A$4:$A$34,"Σάββατο",Schedule!$K$4:$K$34,$A72)+COUNTIFS(Schedule!$A$4:$A$34,"Κυριακή",Schedule!$C$4:$C$34,$A72)+COUNTIFS(Schedule!$A$4:$A$34,"Κυριακή",Schedule!$D$4:$D$34,$A72)+COUNTIFS(Schedule!$A$4:$A$34,"Κυριακή",Schedule!$E$4:$E$34,$A72)+COUNTIFS(Schedule!$A$4:$A$34,"Κυριακή",Schedule!$F$4:$F$34,$A72)+COUNTIFS(Schedule!$A$4:$A$34,"Κυριακή",Schedule!$G$4:$G$34,$A72)+COUNTIFS(Schedule!$A$4:$A$34,"Κυριακή",Schedule!$H$4:$H$34,$A72)+COUNTIFS(Schedule!$A$4:$A$34,"Κυριακή",Schedule!$I$4:$I$34,$A72)+COUNTIFS(Schedule!$A$4:$A$34,"Κυριακή",Schedule!$J$4:$J$34,$A72)+COUNTIFS(Schedule!$A$4:$A$34,"Κυριακή",Schedule!$K$4:$K$34,$A72)</f>
        <v/>
      </c>
      <c r="D72">
        <f>COUNTIF(Schedule!$C$4:$C$34,$A72)+COUNTIF(Schedule!$D$4:$D$34,$A72)+COUNTIF(Schedule!$E$4:$E$34,$A72)+COUNTIF(Schedule!$F$4:$F$34,$A72)</f>
        <v/>
      </c>
      <c r="E72">
        <f>COUNTIF(Schedule!$G$4:$G$34,$A72)+COUNTIF(Schedule!$H$4:$H$34,$A72)</f>
        <v/>
      </c>
      <c r="F72">
        <f>COUNTIF(Schedule!$I$4:$I$34,$A72)+COUNTIF(Schedule!$J$4:$J$34,$A72)</f>
        <v/>
      </c>
      <c r="G72">
        <f>COUNTIF(Schedule!$K$4:$K$34,$A72)</f>
        <v/>
      </c>
      <c r="H72">
        <f>COUNTIF(Schedule!$L$4:$L$34,$A72)</f>
        <v/>
      </c>
      <c r="I72">
        <f>COUNTIF(Schedule!$M$4:$M$34,$A72)</f>
        <v/>
      </c>
      <c r="J72">
        <f>SUM(H72:I72)</f>
        <v/>
      </c>
      <c r="K72">
        <f>IFERROR(IF(B72&lt;=VLOOKUP(TRIM($A72),Personnel!$A:$N,13,0),"OK","ΥΠΕΡΒΑΣΗ"),"!")</f>
        <v/>
      </c>
      <c r="L72">
        <f>IFERROR(IF(C72&lt;=VLOOKUP(TRIM($A72),Personnel!$A:$N,14,0),"OK","ΠΟΛΛΑ ΣΚ"),"!")</f>
        <v/>
      </c>
    </row>
    <row r="73">
      <c r="A73" t="inlineStr">
        <is>
          <t>ΠΑΠΠΑΣ ΕΛΕΥΘΕΡΙΟΣ</t>
        </is>
      </c>
      <c r="B73">
        <f>SUM(D73:G73)</f>
        <v/>
      </c>
      <c r="C73">
        <f>COUNTIFS(Schedule!$A$4:$A$34,"Σάββατο",Schedule!$C$4:$C$34,$A73)+COUNTIFS(Schedule!$A$4:$A$34,"Σάββατο",Schedule!$D$4:$D$34,$A73)+COUNTIFS(Schedule!$A$4:$A$34,"Σάββατο",Schedule!$E$4:$E$34,$A73)+COUNTIFS(Schedule!$A$4:$A$34,"Σάββατο",Schedule!$F$4:$F$34,$A73)+COUNTIFS(Schedule!$A$4:$A$34,"Σάββατο",Schedule!$G$4:$G$34,$A73)+COUNTIFS(Schedule!$A$4:$A$34,"Σάββατο",Schedule!$H$4:$H$34,$A73)+COUNTIFS(Schedule!$A$4:$A$34,"Σάββατο",Schedule!$I$4:$I$34,$A73)+COUNTIFS(Schedule!$A$4:$A$34,"Σάββατο",Schedule!$J$4:$J$34,$A73)+COUNTIFS(Schedule!$A$4:$A$34,"Σάββατο",Schedule!$K$4:$K$34,$A73)+COUNTIFS(Schedule!$A$4:$A$34,"Κυριακή",Schedule!$C$4:$C$34,$A73)+COUNTIFS(Schedule!$A$4:$A$34,"Κυριακή",Schedule!$D$4:$D$34,$A73)+COUNTIFS(Schedule!$A$4:$A$34,"Κυριακή",Schedule!$E$4:$E$34,$A73)+COUNTIFS(Schedule!$A$4:$A$34,"Κυριακή",Schedule!$F$4:$F$34,$A73)+COUNTIFS(Schedule!$A$4:$A$34,"Κυριακή",Schedule!$G$4:$G$34,$A73)+COUNTIFS(Schedule!$A$4:$A$34,"Κυριακή",Schedule!$H$4:$H$34,$A73)+COUNTIFS(Schedule!$A$4:$A$34,"Κυριακή",Schedule!$I$4:$I$34,$A73)+COUNTIFS(Schedule!$A$4:$A$34,"Κυριακή",Schedule!$J$4:$J$34,$A73)+COUNTIFS(Schedule!$A$4:$A$34,"Κυριακή",Schedule!$K$4:$K$34,$A73)</f>
        <v/>
      </c>
      <c r="D73">
        <f>COUNTIF(Schedule!$C$4:$C$34,$A73)+COUNTIF(Schedule!$D$4:$D$34,$A73)+COUNTIF(Schedule!$E$4:$E$34,$A73)+COUNTIF(Schedule!$F$4:$F$34,$A73)</f>
        <v/>
      </c>
      <c r="E73">
        <f>COUNTIF(Schedule!$G$4:$G$34,$A73)+COUNTIF(Schedule!$H$4:$H$34,$A73)</f>
        <v/>
      </c>
      <c r="F73">
        <f>COUNTIF(Schedule!$I$4:$I$34,$A73)+COUNTIF(Schedule!$J$4:$J$34,$A73)</f>
        <v/>
      </c>
      <c r="G73">
        <f>COUNTIF(Schedule!$K$4:$K$34,$A73)</f>
        <v/>
      </c>
      <c r="H73">
        <f>COUNTIF(Schedule!$L$4:$L$34,$A73)</f>
        <v/>
      </c>
      <c r="I73">
        <f>COUNTIF(Schedule!$M$4:$M$34,$A73)</f>
        <v/>
      </c>
      <c r="J73">
        <f>SUM(H73:I73)</f>
        <v/>
      </c>
      <c r="K73">
        <f>IFERROR(IF(B73&lt;=VLOOKUP(TRIM($A73),Personnel!$A:$N,13,0),"OK","ΥΠΕΡΒΑΣΗ"),"!")</f>
        <v/>
      </c>
      <c r="L73">
        <f>IFERROR(IF(C73&lt;=VLOOKUP(TRIM($A73),Personnel!$A:$N,14,0),"OK","ΠΟΛΛΑ ΣΚ"),"!")</f>
        <v/>
      </c>
    </row>
    <row r="74">
      <c r="A74" t="inlineStr">
        <is>
          <t>ΠΛΕΜΜΕΝΟΣ ΠΡΟΔΡΟΜΟΣ</t>
        </is>
      </c>
      <c r="B74">
        <f>SUM(D74:G74)</f>
        <v/>
      </c>
      <c r="C74">
        <f>COUNTIFS(Schedule!$A$4:$A$34,"Σάββατο",Schedule!$C$4:$C$34,$A74)+COUNTIFS(Schedule!$A$4:$A$34,"Σάββατο",Schedule!$D$4:$D$34,$A74)+COUNTIFS(Schedule!$A$4:$A$34,"Σάββατο",Schedule!$E$4:$E$34,$A74)+COUNTIFS(Schedule!$A$4:$A$34,"Σάββατο",Schedule!$F$4:$F$34,$A74)+COUNTIFS(Schedule!$A$4:$A$34,"Σάββατο",Schedule!$G$4:$G$34,$A74)+COUNTIFS(Schedule!$A$4:$A$34,"Σάββατο",Schedule!$H$4:$H$34,$A74)+COUNTIFS(Schedule!$A$4:$A$34,"Σάββατο",Schedule!$I$4:$I$34,$A74)+COUNTIFS(Schedule!$A$4:$A$34,"Σάββατο",Schedule!$J$4:$J$34,$A74)+COUNTIFS(Schedule!$A$4:$A$34,"Σάββατο",Schedule!$K$4:$K$34,$A74)+COUNTIFS(Schedule!$A$4:$A$34,"Κυριακή",Schedule!$C$4:$C$34,$A74)+COUNTIFS(Schedule!$A$4:$A$34,"Κυριακή",Schedule!$D$4:$D$34,$A74)+COUNTIFS(Schedule!$A$4:$A$34,"Κυριακή",Schedule!$E$4:$E$34,$A74)+COUNTIFS(Schedule!$A$4:$A$34,"Κυριακή",Schedule!$F$4:$F$34,$A74)+COUNTIFS(Schedule!$A$4:$A$34,"Κυριακή",Schedule!$G$4:$G$34,$A74)+COUNTIFS(Schedule!$A$4:$A$34,"Κυριακή",Schedule!$H$4:$H$34,$A74)+COUNTIFS(Schedule!$A$4:$A$34,"Κυριακή",Schedule!$I$4:$I$34,$A74)+COUNTIFS(Schedule!$A$4:$A$34,"Κυριακή",Schedule!$J$4:$J$34,$A74)+COUNTIFS(Schedule!$A$4:$A$34,"Κυριακή",Schedule!$K$4:$K$34,$A74)</f>
        <v/>
      </c>
      <c r="D74">
        <f>COUNTIF(Schedule!$C$4:$C$34,$A74)+COUNTIF(Schedule!$D$4:$D$34,$A74)+COUNTIF(Schedule!$E$4:$E$34,$A74)+COUNTIF(Schedule!$F$4:$F$34,$A74)</f>
        <v/>
      </c>
      <c r="E74">
        <f>COUNTIF(Schedule!$G$4:$G$34,$A74)+COUNTIF(Schedule!$H$4:$H$34,$A74)</f>
        <v/>
      </c>
      <c r="F74">
        <f>COUNTIF(Schedule!$I$4:$I$34,$A74)+COUNTIF(Schedule!$J$4:$J$34,$A74)</f>
        <v/>
      </c>
      <c r="G74">
        <f>COUNTIF(Schedule!$K$4:$K$34,$A74)</f>
        <v/>
      </c>
      <c r="H74">
        <f>COUNTIF(Schedule!$L$4:$L$34,$A74)</f>
        <v/>
      </c>
      <c r="I74">
        <f>COUNTIF(Schedule!$M$4:$M$34,$A74)</f>
        <v/>
      </c>
      <c r="J74">
        <f>SUM(H74:I74)</f>
        <v/>
      </c>
      <c r="K74">
        <f>IFERROR(IF(B74&lt;=VLOOKUP(TRIM($A74),Personnel!$A:$N,13,0),"OK","ΥΠΕΡΒΑΣΗ"),"!")</f>
        <v/>
      </c>
      <c r="L74">
        <f>IFERROR(IF(C74&lt;=VLOOKUP(TRIM($A74),Personnel!$A:$N,14,0),"OK","ΠΟΛΛΑ ΣΚ"),"!")</f>
        <v/>
      </c>
    </row>
    <row r="75">
      <c r="A75" t="inlineStr">
        <is>
          <t>ΤΖΙΩΤΑΚΗΣ ΓΕΩΡΓΙΟΣ</t>
        </is>
      </c>
      <c r="B75">
        <f>SUM(D75:G75)</f>
        <v/>
      </c>
      <c r="C75">
        <f>COUNTIFS(Schedule!$A$4:$A$34,"Σάββατο",Schedule!$C$4:$C$34,$A75)+COUNTIFS(Schedule!$A$4:$A$34,"Σάββατο",Schedule!$D$4:$D$34,$A75)+COUNTIFS(Schedule!$A$4:$A$34,"Σάββατο",Schedule!$E$4:$E$34,$A75)+COUNTIFS(Schedule!$A$4:$A$34,"Σάββατο",Schedule!$F$4:$F$34,$A75)+COUNTIFS(Schedule!$A$4:$A$34,"Σάββατο",Schedule!$G$4:$G$34,$A75)+COUNTIFS(Schedule!$A$4:$A$34,"Σάββατο",Schedule!$H$4:$H$34,$A75)+COUNTIFS(Schedule!$A$4:$A$34,"Σάββατο",Schedule!$I$4:$I$34,$A75)+COUNTIFS(Schedule!$A$4:$A$34,"Σάββατο",Schedule!$J$4:$J$34,$A75)+COUNTIFS(Schedule!$A$4:$A$34,"Σάββατο",Schedule!$K$4:$K$34,$A75)+COUNTIFS(Schedule!$A$4:$A$34,"Κυριακή",Schedule!$C$4:$C$34,$A75)+COUNTIFS(Schedule!$A$4:$A$34,"Κυριακή",Schedule!$D$4:$D$34,$A75)+COUNTIFS(Schedule!$A$4:$A$34,"Κυριακή",Schedule!$E$4:$E$34,$A75)+COUNTIFS(Schedule!$A$4:$A$34,"Κυριακή",Schedule!$F$4:$F$34,$A75)+COUNTIFS(Schedule!$A$4:$A$34,"Κυριακή",Schedule!$G$4:$G$34,$A75)+COUNTIFS(Schedule!$A$4:$A$34,"Κυριακή",Schedule!$H$4:$H$34,$A75)+COUNTIFS(Schedule!$A$4:$A$34,"Κυριακή",Schedule!$I$4:$I$34,$A75)+COUNTIFS(Schedule!$A$4:$A$34,"Κυριακή",Schedule!$J$4:$J$34,$A75)+COUNTIFS(Schedule!$A$4:$A$34,"Κυριακή",Schedule!$K$4:$K$34,$A75)</f>
        <v/>
      </c>
      <c r="D75">
        <f>COUNTIF(Schedule!$C$4:$C$34,$A75)+COUNTIF(Schedule!$D$4:$D$34,$A75)+COUNTIF(Schedule!$E$4:$E$34,$A75)+COUNTIF(Schedule!$F$4:$F$34,$A75)</f>
        <v/>
      </c>
      <c r="E75">
        <f>COUNTIF(Schedule!$G$4:$G$34,$A75)+COUNTIF(Schedule!$H$4:$H$34,$A75)</f>
        <v/>
      </c>
      <c r="F75">
        <f>COUNTIF(Schedule!$I$4:$I$34,$A75)+COUNTIF(Schedule!$J$4:$J$34,$A75)</f>
        <v/>
      </c>
      <c r="G75">
        <f>COUNTIF(Schedule!$K$4:$K$34,$A75)</f>
        <v/>
      </c>
      <c r="H75">
        <f>COUNTIF(Schedule!$L$4:$L$34,$A75)</f>
        <v/>
      </c>
      <c r="I75">
        <f>COUNTIF(Schedule!$M$4:$M$34,$A75)</f>
        <v/>
      </c>
      <c r="J75">
        <f>SUM(H75:I75)</f>
        <v/>
      </c>
      <c r="K75">
        <f>IFERROR(IF(B75&lt;=VLOOKUP(TRIM($A75),Personnel!$A:$N,13,0),"OK","ΥΠΕΡΒΑΣΗ"),"!")</f>
        <v/>
      </c>
      <c r="L75">
        <f>IFERROR(IF(C75&lt;=VLOOKUP(TRIM($A75),Personnel!$A:$N,14,0),"OK","ΠΟΛΛΑ ΣΚ"),"!")</f>
        <v/>
      </c>
    </row>
    <row r="76">
      <c r="A76" t="inlineStr">
        <is>
          <t>ΚΥΡΙΑΚΙΔΗΣ ΧΡΗΣΤΟΣ</t>
        </is>
      </c>
      <c r="B76">
        <f>SUM(D76:G76)</f>
        <v/>
      </c>
      <c r="C76">
        <f>COUNTIFS(Schedule!$A$4:$A$34,"Σάββατο",Schedule!$C$4:$C$34,$A76)+COUNTIFS(Schedule!$A$4:$A$34,"Σάββατο",Schedule!$D$4:$D$34,$A76)+COUNTIFS(Schedule!$A$4:$A$34,"Σάββατο",Schedule!$E$4:$E$34,$A76)+COUNTIFS(Schedule!$A$4:$A$34,"Σάββατο",Schedule!$F$4:$F$34,$A76)+COUNTIFS(Schedule!$A$4:$A$34,"Σάββατο",Schedule!$G$4:$G$34,$A76)+COUNTIFS(Schedule!$A$4:$A$34,"Σάββατο",Schedule!$H$4:$H$34,$A76)+COUNTIFS(Schedule!$A$4:$A$34,"Σάββατο",Schedule!$I$4:$I$34,$A76)+COUNTIFS(Schedule!$A$4:$A$34,"Σάββατο",Schedule!$J$4:$J$34,$A76)+COUNTIFS(Schedule!$A$4:$A$34,"Σάββατο",Schedule!$K$4:$K$34,$A76)+COUNTIFS(Schedule!$A$4:$A$34,"Κυριακή",Schedule!$C$4:$C$34,$A76)+COUNTIFS(Schedule!$A$4:$A$34,"Κυριακή",Schedule!$D$4:$D$34,$A76)+COUNTIFS(Schedule!$A$4:$A$34,"Κυριακή",Schedule!$E$4:$E$34,$A76)+COUNTIFS(Schedule!$A$4:$A$34,"Κυριακή",Schedule!$F$4:$F$34,$A76)+COUNTIFS(Schedule!$A$4:$A$34,"Κυριακή",Schedule!$G$4:$G$34,$A76)+COUNTIFS(Schedule!$A$4:$A$34,"Κυριακή",Schedule!$H$4:$H$34,$A76)+COUNTIFS(Schedule!$A$4:$A$34,"Κυριακή",Schedule!$I$4:$I$34,$A76)+COUNTIFS(Schedule!$A$4:$A$34,"Κυριακή",Schedule!$J$4:$J$34,$A76)+COUNTIFS(Schedule!$A$4:$A$34,"Κυριακή",Schedule!$K$4:$K$34,$A76)</f>
        <v/>
      </c>
      <c r="D76">
        <f>COUNTIF(Schedule!$C$4:$C$34,$A76)+COUNTIF(Schedule!$D$4:$D$34,$A76)+COUNTIF(Schedule!$E$4:$E$34,$A76)+COUNTIF(Schedule!$F$4:$F$34,$A76)</f>
        <v/>
      </c>
      <c r="E76">
        <f>COUNTIF(Schedule!$G$4:$G$34,$A76)+COUNTIF(Schedule!$H$4:$H$34,$A76)</f>
        <v/>
      </c>
      <c r="F76">
        <f>COUNTIF(Schedule!$I$4:$I$34,$A76)+COUNTIF(Schedule!$J$4:$J$34,$A76)</f>
        <v/>
      </c>
      <c r="G76">
        <f>COUNTIF(Schedule!$K$4:$K$34,$A76)</f>
        <v/>
      </c>
      <c r="H76">
        <f>COUNTIF(Schedule!$L$4:$L$34,$A76)</f>
        <v/>
      </c>
      <c r="I76">
        <f>COUNTIF(Schedule!$M$4:$M$34,$A76)</f>
        <v/>
      </c>
      <c r="J76">
        <f>SUM(H76:I76)</f>
        <v/>
      </c>
      <c r="K76">
        <f>IFERROR(IF(B76&lt;=VLOOKUP(TRIM($A76),Personnel!$A:$N,13,0),"OK","ΥΠΕΡΒΑΣΗ"),"!")</f>
        <v/>
      </c>
      <c r="L76">
        <f>IFERROR(IF(C76&lt;=VLOOKUP(TRIM($A76),Personnel!$A:$N,14,0),"OK","ΠΟΛΛΑ ΣΚ"),"!")</f>
        <v/>
      </c>
    </row>
    <row r="77">
      <c r="A77" t="inlineStr">
        <is>
          <t>ΚΟΥΤΣΟΣ ΑΘΑΝΑΣΙΟΣ</t>
        </is>
      </c>
      <c r="B77">
        <f>SUM(D77:G77)</f>
        <v/>
      </c>
      <c r="C77">
        <f>COUNTIFS(Schedule!$A$4:$A$34,"Σάββατο",Schedule!$C$4:$C$34,$A77)+COUNTIFS(Schedule!$A$4:$A$34,"Σάββατο",Schedule!$D$4:$D$34,$A77)+COUNTIFS(Schedule!$A$4:$A$34,"Σάββατο",Schedule!$E$4:$E$34,$A77)+COUNTIFS(Schedule!$A$4:$A$34,"Σάββατο",Schedule!$F$4:$F$34,$A77)+COUNTIFS(Schedule!$A$4:$A$34,"Σάββατο",Schedule!$G$4:$G$34,$A77)+COUNTIFS(Schedule!$A$4:$A$34,"Σάββατο",Schedule!$H$4:$H$34,$A77)+COUNTIFS(Schedule!$A$4:$A$34,"Σάββατο",Schedule!$I$4:$I$34,$A77)+COUNTIFS(Schedule!$A$4:$A$34,"Σάββατο",Schedule!$J$4:$J$34,$A77)+COUNTIFS(Schedule!$A$4:$A$34,"Σάββατο",Schedule!$K$4:$K$34,$A77)+COUNTIFS(Schedule!$A$4:$A$34,"Κυριακή",Schedule!$C$4:$C$34,$A77)+COUNTIFS(Schedule!$A$4:$A$34,"Κυριακή",Schedule!$D$4:$D$34,$A77)+COUNTIFS(Schedule!$A$4:$A$34,"Κυριακή",Schedule!$E$4:$E$34,$A77)+COUNTIFS(Schedule!$A$4:$A$34,"Κυριακή",Schedule!$F$4:$F$34,$A77)+COUNTIFS(Schedule!$A$4:$A$34,"Κυριακή",Schedule!$G$4:$G$34,$A77)+COUNTIFS(Schedule!$A$4:$A$34,"Κυριακή",Schedule!$H$4:$H$34,$A77)+COUNTIFS(Schedule!$A$4:$A$34,"Κυριακή",Schedule!$I$4:$I$34,$A77)+COUNTIFS(Schedule!$A$4:$A$34,"Κυριακή",Schedule!$J$4:$J$34,$A77)+COUNTIFS(Schedule!$A$4:$A$34,"Κυριακή",Schedule!$K$4:$K$34,$A77)</f>
        <v/>
      </c>
      <c r="D77">
        <f>COUNTIF(Schedule!$C$4:$C$34,$A77)+COUNTIF(Schedule!$D$4:$D$34,$A77)+COUNTIF(Schedule!$E$4:$E$34,$A77)+COUNTIF(Schedule!$F$4:$F$34,$A77)</f>
        <v/>
      </c>
      <c r="E77">
        <f>COUNTIF(Schedule!$G$4:$G$34,$A77)+COUNTIF(Schedule!$H$4:$H$34,$A77)</f>
        <v/>
      </c>
      <c r="F77">
        <f>COUNTIF(Schedule!$I$4:$I$34,$A77)+COUNTIF(Schedule!$J$4:$J$34,$A77)</f>
        <v/>
      </c>
      <c r="G77">
        <f>COUNTIF(Schedule!$K$4:$K$34,$A77)</f>
        <v/>
      </c>
      <c r="H77">
        <f>COUNTIF(Schedule!$L$4:$L$34,$A77)</f>
        <v/>
      </c>
      <c r="I77">
        <f>COUNTIF(Schedule!$M$4:$M$34,$A77)</f>
        <v/>
      </c>
      <c r="J77">
        <f>SUM(H77:I77)</f>
        <v/>
      </c>
      <c r="K77">
        <f>IFERROR(IF(B77&lt;=VLOOKUP(TRIM($A77),Personnel!$A:$N,13,0),"OK","ΥΠΕΡΒΑΣΗ"),"!")</f>
        <v/>
      </c>
      <c r="L77">
        <f>IFERROR(IF(C77&lt;=VLOOKUP(TRIM($A77),Personnel!$A:$N,14,0),"OK","ΠΟΛΛΑ ΣΚ"),"!")</f>
        <v/>
      </c>
    </row>
    <row r="78">
      <c r="A78" t="inlineStr">
        <is>
          <t>ΒΟΛΤΥΡΑΚΗΣ ΧΡΗΣΤΟΣ (MONO ΒΑΥΔΜ)</t>
        </is>
      </c>
      <c r="B78">
        <f>SUM(D78:G78)</f>
        <v/>
      </c>
      <c r="C78">
        <f>COUNTIFS(Schedule!$A$4:$A$34,"Σάββατο",Schedule!$C$4:$C$34,$A78)+COUNTIFS(Schedule!$A$4:$A$34,"Σάββατο",Schedule!$D$4:$D$34,$A78)+COUNTIFS(Schedule!$A$4:$A$34,"Σάββατο",Schedule!$E$4:$E$34,$A78)+COUNTIFS(Schedule!$A$4:$A$34,"Σάββατο",Schedule!$F$4:$F$34,$A78)+COUNTIFS(Schedule!$A$4:$A$34,"Σάββατο",Schedule!$G$4:$G$34,$A78)+COUNTIFS(Schedule!$A$4:$A$34,"Σάββατο",Schedule!$H$4:$H$34,$A78)+COUNTIFS(Schedule!$A$4:$A$34,"Σάββατο",Schedule!$I$4:$I$34,$A78)+COUNTIFS(Schedule!$A$4:$A$34,"Σάββατο",Schedule!$J$4:$J$34,$A78)+COUNTIFS(Schedule!$A$4:$A$34,"Σάββατο",Schedule!$K$4:$K$34,$A78)+COUNTIFS(Schedule!$A$4:$A$34,"Κυριακή",Schedule!$C$4:$C$34,$A78)+COUNTIFS(Schedule!$A$4:$A$34,"Κυριακή",Schedule!$D$4:$D$34,$A78)+COUNTIFS(Schedule!$A$4:$A$34,"Κυριακή",Schedule!$E$4:$E$34,$A78)+COUNTIFS(Schedule!$A$4:$A$34,"Κυριακή",Schedule!$F$4:$F$34,$A78)+COUNTIFS(Schedule!$A$4:$A$34,"Κυριακή",Schedule!$G$4:$G$34,$A78)+COUNTIFS(Schedule!$A$4:$A$34,"Κυριακή",Schedule!$H$4:$H$34,$A78)+COUNTIFS(Schedule!$A$4:$A$34,"Κυριακή",Schedule!$I$4:$I$34,$A78)+COUNTIFS(Schedule!$A$4:$A$34,"Κυριακή",Schedule!$J$4:$J$34,$A78)+COUNTIFS(Schedule!$A$4:$A$34,"Κυριακή",Schedule!$K$4:$K$34,$A78)</f>
        <v/>
      </c>
      <c r="D78">
        <f>COUNTIF(Schedule!$C$4:$C$34,$A78)+COUNTIF(Schedule!$D$4:$D$34,$A78)+COUNTIF(Schedule!$E$4:$E$34,$A78)+COUNTIF(Schedule!$F$4:$F$34,$A78)</f>
        <v/>
      </c>
      <c r="E78">
        <f>COUNTIF(Schedule!$G$4:$G$34,$A78)+COUNTIF(Schedule!$H$4:$H$34,$A78)</f>
        <v/>
      </c>
      <c r="F78">
        <f>COUNTIF(Schedule!$I$4:$I$34,$A78)+COUNTIF(Schedule!$J$4:$J$34,$A78)</f>
        <v/>
      </c>
      <c r="G78">
        <f>COUNTIF(Schedule!$K$4:$K$34,$A78)</f>
        <v/>
      </c>
      <c r="H78">
        <f>COUNTIF(Schedule!$L$4:$L$34,$A78)</f>
        <v/>
      </c>
      <c r="I78">
        <f>COUNTIF(Schedule!$M$4:$M$34,$A78)</f>
        <v/>
      </c>
      <c r="J78">
        <f>SUM(H78:I78)</f>
        <v/>
      </c>
      <c r="K78">
        <f>IFERROR(IF(B78&lt;=VLOOKUP(TRIM($A78),Personnel!$A:$N,13,0),"OK","ΥΠΕΡΒΑΣΗ"),"!")</f>
        <v/>
      </c>
      <c r="L78">
        <f>IFERROR(IF(C78&lt;=VLOOKUP(TRIM($A78),Personnel!$A:$N,14,0),"OK","ΠΟΛΛΑ ΣΚ"),"!")</f>
        <v/>
      </c>
    </row>
    <row r="79">
      <c r="A79" t="inlineStr">
        <is>
          <t>ΤΣΕΛΕΠΙΔΗΣ ΣΑΒΒΑΣ</t>
        </is>
      </c>
      <c r="B79">
        <f>SUM(D79:G79)</f>
        <v/>
      </c>
      <c r="C79">
        <f>COUNTIFS(Schedule!$A$4:$A$34,"Σάββατο",Schedule!$C$4:$C$34,$A79)+COUNTIFS(Schedule!$A$4:$A$34,"Σάββατο",Schedule!$D$4:$D$34,$A79)+COUNTIFS(Schedule!$A$4:$A$34,"Σάββατο",Schedule!$E$4:$E$34,$A79)+COUNTIFS(Schedule!$A$4:$A$34,"Σάββατο",Schedule!$F$4:$F$34,$A79)+COUNTIFS(Schedule!$A$4:$A$34,"Σάββατο",Schedule!$G$4:$G$34,$A79)+COUNTIFS(Schedule!$A$4:$A$34,"Σάββατο",Schedule!$H$4:$H$34,$A79)+COUNTIFS(Schedule!$A$4:$A$34,"Σάββατο",Schedule!$I$4:$I$34,$A79)+COUNTIFS(Schedule!$A$4:$A$34,"Σάββατο",Schedule!$J$4:$J$34,$A79)+COUNTIFS(Schedule!$A$4:$A$34,"Σάββατο",Schedule!$K$4:$K$34,$A79)+COUNTIFS(Schedule!$A$4:$A$34,"Κυριακή",Schedule!$C$4:$C$34,$A79)+COUNTIFS(Schedule!$A$4:$A$34,"Κυριακή",Schedule!$D$4:$D$34,$A79)+COUNTIFS(Schedule!$A$4:$A$34,"Κυριακή",Schedule!$E$4:$E$34,$A79)+COUNTIFS(Schedule!$A$4:$A$34,"Κυριακή",Schedule!$F$4:$F$34,$A79)+COUNTIFS(Schedule!$A$4:$A$34,"Κυριακή",Schedule!$G$4:$G$34,$A79)+COUNTIFS(Schedule!$A$4:$A$34,"Κυριακή",Schedule!$H$4:$H$34,$A79)+COUNTIFS(Schedule!$A$4:$A$34,"Κυριακή",Schedule!$I$4:$I$34,$A79)+COUNTIFS(Schedule!$A$4:$A$34,"Κυριακή",Schedule!$J$4:$J$34,$A79)+COUNTIFS(Schedule!$A$4:$A$34,"Κυριακή",Schedule!$K$4:$K$34,$A79)</f>
        <v/>
      </c>
      <c r="D79">
        <f>COUNTIF(Schedule!$C$4:$C$34,$A79)+COUNTIF(Schedule!$D$4:$D$34,$A79)+COUNTIF(Schedule!$E$4:$E$34,$A79)+COUNTIF(Schedule!$F$4:$F$34,$A79)</f>
        <v/>
      </c>
      <c r="E79">
        <f>COUNTIF(Schedule!$G$4:$G$34,$A79)+COUNTIF(Schedule!$H$4:$H$34,$A79)</f>
        <v/>
      </c>
      <c r="F79">
        <f>COUNTIF(Schedule!$I$4:$I$34,$A79)+COUNTIF(Schedule!$J$4:$J$34,$A79)</f>
        <v/>
      </c>
      <c r="G79">
        <f>COUNTIF(Schedule!$K$4:$K$34,$A79)</f>
        <v/>
      </c>
      <c r="H79">
        <f>COUNTIF(Schedule!$L$4:$L$34,$A79)</f>
        <v/>
      </c>
      <c r="I79">
        <f>COUNTIF(Schedule!$M$4:$M$34,$A79)</f>
        <v/>
      </c>
      <c r="J79">
        <f>SUM(H79:I79)</f>
        <v/>
      </c>
      <c r="K79">
        <f>IFERROR(IF(B79&lt;=VLOOKUP(TRIM($A79),Personnel!$A:$N,13,0),"OK","ΥΠΕΡΒΑΣΗ"),"!")</f>
        <v/>
      </c>
      <c r="L79">
        <f>IFERROR(IF(C79&lt;=VLOOKUP(TRIM($A79),Personnel!$A:$N,14,0),"OK","ΠΟΛΛΑ ΣΚ"),"!")</f>
        <v/>
      </c>
    </row>
    <row r="80">
      <c r="A80" t="inlineStr">
        <is>
          <t>ΚΑΛΑΡΓΥΡΟΣ ΝΙΚΟΛΑΟΣ</t>
        </is>
      </c>
      <c r="B80">
        <f>SUM(D80:G80)</f>
        <v/>
      </c>
      <c r="C80">
        <f>COUNTIFS(Schedule!$A$4:$A$34,"Σάββατο",Schedule!$C$4:$C$34,$A80)+COUNTIFS(Schedule!$A$4:$A$34,"Σάββατο",Schedule!$D$4:$D$34,$A80)+COUNTIFS(Schedule!$A$4:$A$34,"Σάββατο",Schedule!$E$4:$E$34,$A80)+COUNTIFS(Schedule!$A$4:$A$34,"Σάββατο",Schedule!$F$4:$F$34,$A80)+COUNTIFS(Schedule!$A$4:$A$34,"Σάββατο",Schedule!$G$4:$G$34,$A80)+COUNTIFS(Schedule!$A$4:$A$34,"Σάββατο",Schedule!$H$4:$H$34,$A80)+COUNTIFS(Schedule!$A$4:$A$34,"Σάββατο",Schedule!$I$4:$I$34,$A80)+COUNTIFS(Schedule!$A$4:$A$34,"Σάββατο",Schedule!$J$4:$J$34,$A80)+COUNTIFS(Schedule!$A$4:$A$34,"Σάββατο",Schedule!$K$4:$K$34,$A80)+COUNTIFS(Schedule!$A$4:$A$34,"Κυριακή",Schedule!$C$4:$C$34,$A80)+COUNTIFS(Schedule!$A$4:$A$34,"Κυριακή",Schedule!$D$4:$D$34,$A80)+COUNTIFS(Schedule!$A$4:$A$34,"Κυριακή",Schedule!$E$4:$E$34,$A80)+COUNTIFS(Schedule!$A$4:$A$34,"Κυριακή",Schedule!$F$4:$F$34,$A80)+COUNTIFS(Schedule!$A$4:$A$34,"Κυριακή",Schedule!$G$4:$G$34,$A80)+COUNTIFS(Schedule!$A$4:$A$34,"Κυριακή",Schedule!$H$4:$H$34,$A80)+COUNTIFS(Schedule!$A$4:$A$34,"Κυριακή",Schedule!$I$4:$I$34,$A80)+COUNTIFS(Schedule!$A$4:$A$34,"Κυριακή",Schedule!$J$4:$J$34,$A80)+COUNTIFS(Schedule!$A$4:$A$34,"Κυριακή",Schedule!$K$4:$K$34,$A80)</f>
        <v/>
      </c>
      <c r="D80">
        <f>COUNTIF(Schedule!$C$4:$C$34,$A80)+COUNTIF(Schedule!$D$4:$D$34,$A80)+COUNTIF(Schedule!$E$4:$E$34,$A80)+COUNTIF(Schedule!$F$4:$F$34,$A80)</f>
        <v/>
      </c>
      <c r="E80">
        <f>COUNTIF(Schedule!$G$4:$G$34,$A80)+COUNTIF(Schedule!$H$4:$H$34,$A80)</f>
        <v/>
      </c>
      <c r="F80">
        <f>COUNTIF(Schedule!$I$4:$I$34,$A80)+COUNTIF(Schedule!$J$4:$J$34,$A80)</f>
        <v/>
      </c>
      <c r="G80">
        <f>COUNTIF(Schedule!$K$4:$K$34,$A80)</f>
        <v/>
      </c>
      <c r="H80">
        <f>COUNTIF(Schedule!$L$4:$L$34,$A80)</f>
        <v/>
      </c>
      <c r="I80">
        <f>COUNTIF(Schedule!$M$4:$M$34,$A80)</f>
        <v/>
      </c>
      <c r="J80">
        <f>SUM(H80:I80)</f>
        <v/>
      </c>
      <c r="K80">
        <f>IFERROR(IF(B80&lt;=VLOOKUP(TRIM($A80),Personnel!$A:$N,13,0),"OK","ΥΠΕΡΒΑΣΗ"),"!")</f>
        <v/>
      </c>
      <c r="L80">
        <f>IFERROR(IF(C80&lt;=VLOOKUP(TRIM($A80),Personnel!$A:$N,14,0),"OK","ΠΟΛΛΑ ΣΚ"),"!")</f>
        <v/>
      </c>
    </row>
    <row r="81">
      <c r="A81" t="inlineStr">
        <is>
          <t>ΚΑΡΡΑΣ ΦΑΝΗΣ ΓΕΩΡΓΙΟΣ</t>
        </is>
      </c>
      <c r="B81">
        <f>SUM(D81:G81)</f>
        <v/>
      </c>
      <c r="C81">
        <f>COUNTIFS(Schedule!$A$4:$A$34,"Σάββατο",Schedule!$C$4:$C$34,$A81)+COUNTIFS(Schedule!$A$4:$A$34,"Σάββατο",Schedule!$D$4:$D$34,$A81)+COUNTIFS(Schedule!$A$4:$A$34,"Σάββατο",Schedule!$E$4:$E$34,$A81)+COUNTIFS(Schedule!$A$4:$A$34,"Σάββατο",Schedule!$F$4:$F$34,$A81)+COUNTIFS(Schedule!$A$4:$A$34,"Σάββατο",Schedule!$G$4:$G$34,$A81)+COUNTIFS(Schedule!$A$4:$A$34,"Σάββατο",Schedule!$H$4:$H$34,$A81)+COUNTIFS(Schedule!$A$4:$A$34,"Σάββατο",Schedule!$I$4:$I$34,$A81)+COUNTIFS(Schedule!$A$4:$A$34,"Σάββατο",Schedule!$J$4:$J$34,$A81)+COUNTIFS(Schedule!$A$4:$A$34,"Σάββατο",Schedule!$K$4:$K$34,$A81)+COUNTIFS(Schedule!$A$4:$A$34,"Κυριακή",Schedule!$C$4:$C$34,$A81)+COUNTIFS(Schedule!$A$4:$A$34,"Κυριακή",Schedule!$D$4:$D$34,$A81)+COUNTIFS(Schedule!$A$4:$A$34,"Κυριακή",Schedule!$E$4:$E$34,$A81)+COUNTIFS(Schedule!$A$4:$A$34,"Κυριακή",Schedule!$F$4:$F$34,$A81)+COUNTIFS(Schedule!$A$4:$A$34,"Κυριακή",Schedule!$G$4:$G$34,$A81)+COUNTIFS(Schedule!$A$4:$A$34,"Κυριακή",Schedule!$H$4:$H$34,$A81)+COUNTIFS(Schedule!$A$4:$A$34,"Κυριακή",Schedule!$I$4:$I$34,$A81)+COUNTIFS(Schedule!$A$4:$A$34,"Κυριακή",Schedule!$J$4:$J$34,$A81)+COUNTIFS(Schedule!$A$4:$A$34,"Κυριακή",Schedule!$K$4:$K$34,$A81)</f>
        <v/>
      </c>
      <c r="D81">
        <f>COUNTIF(Schedule!$C$4:$C$34,$A81)+COUNTIF(Schedule!$D$4:$D$34,$A81)+COUNTIF(Schedule!$E$4:$E$34,$A81)+COUNTIF(Schedule!$F$4:$F$34,$A81)</f>
        <v/>
      </c>
      <c r="E81">
        <f>COUNTIF(Schedule!$G$4:$G$34,$A81)+COUNTIF(Schedule!$H$4:$H$34,$A81)</f>
        <v/>
      </c>
      <c r="F81">
        <f>COUNTIF(Schedule!$I$4:$I$34,$A81)+COUNTIF(Schedule!$J$4:$J$34,$A81)</f>
        <v/>
      </c>
      <c r="G81">
        <f>COUNTIF(Schedule!$K$4:$K$34,$A81)</f>
        <v/>
      </c>
      <c r="H81">
        <f>COUNTIF(Schedule!$L$4:$L$34,$A81)</f>
        <v/>
      </c>
      <c r="I81">
        <f>COUNTIF(Schedule!$M$4:$M$34,$A81)</f>
        <v/>
      </c>
      <c r="J81">
        <f>SUM(H81:I81)</f>
        <v/>
      </c>
      <c r="K81">
        <f>IFERROR(IF(B81&lt;=VLOOKUP(TRIM($A81),Personnel!$A:$N,13,0),"OK","ΥΠΕΡΒΑΣΗ"),"!")</f>
        <v/>
      </c>
      <c r="L81">
        <f>IFERROR(IF(C81&lt;=VLOOKUP(TRIM($A81),Personnel!$A:$N,14,0),"OK","ΠΟΛΛΑ ΣΚ"),"!")</f>
        <v/>
      </c>
    </row>
    <row r="82">
      <c r="A82" t="inlineStr">
        <is>
          <t>ΛΥΚΟΥΡΑΣ ΛΑΜΠΡΟΣ</t>
        </is>
      </c>
      <c r="B82">
        <f>SUM(D82:G82)</f>
        <v/>
      </c>
      <c r="C82">
        <f>COUNTIFS(Schedule!$A$4:$A$34,"Σάββατο",Schedule!$C$4:$C$34,$A82)+COUNTIFS(Schedule!$A$4:$A$34,"Σάββατο",Schedule!$D$4:$D$34,$A82)+COUNTIFS(Schedule!$A$4:$A$34,"Σάββατο",Schedule!$E$4:$E$34,$A82)+COUNTIFS(Schedule!$A$4:$A$34,"Σάββατο",Schedule!$F$4:$F$34,$A82)+COUNTIFS(Schedule!$A$4:$A$34,"Σάββατο",Schedule!$G$4:$G$34,$A82)+COUNTIFS(Schedule!$A$4:$A$34,"Σάββατο",Schedule!$H$4:$H$34,$A82)+COUNTIFS(Schedule!$A$4:$A$34,"Σάββατο",Schedule!$I$4:$I$34,$A82)+COUNTIFS(Schedule!$A$4:$A$34,"Σάββατο",Schedule!$J$4:$J$34,$A82)+COUNTIFS(Schedule!$A$4:$A$34,"Σάββατο",Schedule!$K$4:$K$34,$A82)+COUNTIFS(Schedule!$A$4:$A$34,"Κυριακή",Schedule!$C$4:$C$34,$A82)+COUNTIFS(Schedule!$A$4:$A$34,"Κυριακή",Schedule!$D$4:$D$34,$A82)+COUNTIFS(Schedule!$A$4:$A$34,"Κυριακή",Schedule!$E$4:$E$34,$A82)+COUNTIFS(Schedule!$A$4:$A$34,"Κυριακή",Schedule!$F$4:$F$34,$A82)+COUNTIFS(Schedule!$A$4:$A$34,"Κυριακή",Schedule!$G$4:$G$34,$A82)+COUNTIFS(Schedule!$A$4:$A$34,"Κυριακή",Schedule!$H$4:$H$34,$A82)+COUNTIFS(Schedule!$A$4:$A$34,"Κυριακή",Schedule!$I$4:$I$34,$A82)+COUNTIFS(Schedule!$A$4:$A$34,"Κυριακή",Schedule!$J$4:$J$34,$A82)+COUNTIFS(Schedule!$A$4:$A$34,"Κυριακή",Schedule!$K$4:$K$34,$A82)</f>
        <v/>
      </c>
      <c r="D82">
        <f>COUNTIF(Schedule!$C$4:$C$34,$A82)+COUNTIF(Schedule!$D$4:$D$34,$A82)+COUNTIF(Schedule!$E$4:$E$34,$A82)+COUNTIF(Schedule!$F$4:$F$34,$A82)</f>
        <v/>
      </c>
      <c r="E82">
        <f>COUNTIF(Schedule!$G$4:$G$34,$A82)+COUNTIF(Schedule!$H$4:$H$34,$A82)</f>
        <v/>
      </c>
      <c r="F82">
        <f>COUNTIF(Schedule!$I$4:$I$34,$A82)+COUNTIF(Schedule!$J$4:$J$34,$A82)</f>
        <v/>
      </c>
      <c r="G82">
        <f>COUNTIF(Schedule!$K$4:$K$34,$A82)</f>
        <v/>
      </c>
      <c r="H82">
        <f>COUNTIF(Schedule!$L$4:$L$34,$A82)</f>
        <v/>
      </c>
      <c r="I82">
        <f>COUNTIF(Schedule!$M$4:$M$34,$A82)</f>
        <v/>
      </c>
      <c r="J82">
        <f>SUM(H82:I82)</f>
        <v/>
      </c>
      <c r="K82">
        <f>IFERROR(IF(B82&lt;=VLOOKUP(TRIM($A82),Personnel!$A:$N,13,0),"OK","ΥΠΕΡΒΑΣΗ"),"!")</f>
        <v/>
      </c>
      <c r="L82">
        <f>IFERROR(IF(C82&lt;=VLOOKUP(TRIM($A82),Personnel!$A:$N,14,0),"OK","ΠΟΛΛΑ ΣΚ"),"!")</f>
        <v/>
      </c>
    </row>
    <row r="83">
      <c r="A83" t="inlineStr">
        <is>
          <t>ΚΟΥΝΑΝΗΣ ΚΥΡΙΑΚΟΣ</t>
        </is>
      </c>
      <c r="B83">
        <f>SUM(D83:G83)</f>
        <v/>
      </c>
      <c r="C83">
        <f>COUNTIFS(Schedule!$A$4:$A$34,"Σάββατο",Schedule!$C$4:$C$34,$A83)+COUNTIFS(Schedule!$A$4:$A$34,"Σάββατο",Schedule!$D$4:$D$34,$A83)+COUNTIFS(Schedule!$A$4:$A$34,"Σάββατο",Schedule!$E$4:$E$34,$A83)+COUNTIFS(Schedule!$A$4:$A$34,"Σάββατο",Schedule!$F$4:$F$34,$A83)+COUNTIFS(Schedule!$A$4:$A$34,"Σάββατο",Schedule!$G$4:$G$34,$A83)+COUNTIFS(Schedule!$A$4:$A$34,"Σάββατο",Schedule!$H$4:$H$34,$A83)+COUNTIFS(Schedule!$A$4:$A$34,"Σάββατο",Schedule!$I$4:$I$34,$A83)+COUNTIFS(Schedule!$A$4:$A$34,"Σάββατο",Schedule!$J$4:$J$34,$A83)+COUNTIFS(Schedule!$A$4:$A$34,"Σάββατο",Schedule!$K$4:$K$34,$A83)+COUNTIFS(Schedule!$A$4:$A$34,"Κυριακή",Schedule!$C$4:$C$34,$A83)+COUNTIFS(Schedule!$A$4:$A$34,"Κυριακή",Schedule!$D$4:$D$34,$A83)+COUNTIFS(Schedule!$A$4:$A$34,"Κυριακή",Schedule!$E$4:$E$34,$A83)+COUNTIFS(Schedule!$A$4:$A$34,"Κυριακή",Schedule!$F$4:$F$34,$A83)+COUNTIFS(Schedule!$A$4:$A$34,"Κυριακή",Schedule!$G$4:$G$34,$A83)+COUNTIFS(Schedule!$A$4:$A$34,"Κυριακή",Schedule!$H$4:$H$34,$A83)+COUNTIFS(Schedule!$A$4:$A$34,"Κυριακή",Schedule!$I$4:$I$34,$A83)+COUNTIFS(Schedule!$A$4:$A$34,"Κυριακή",Schedule!$J$4:$J$34,$A83)+COUNTIFS(Schedule!$A$4:$A$34,"Κυριακή",Schedule!$K$4:$K$34,$A83)</f>
        <v/>
      </c>
      <c r="D83">
        <f>COUNTIF(Schedule!$C$4:$C$34,$A83)+COUNTIF(Schedule!$D$4:$D$34,$A83)+COUNTIF(Schedule!$E$4:$E$34,$A83)+COUNTIF(Schedule!$F$4:$F$34,$A83)</f>
        <v/>
      </c>
      <c r="E83">
        <f>COUNTIF(Schedule!$G$4:$G$34,$A83)+COUNTIF(Schedule!$H$4:$H$34,$A83)</f>
        <v/>
      </c>
      <c r="F83">
        <f>COUNTIF(Schedule!$I$4:$I$34,$A83)+COUNTIF(Schedule!$J$4:$J$34,$A83)</f>
        <v/>
      </c>
      <c r="G83">
        <f>COUNTIF(Schedule!$K$4:$K$34,$A83)</f>
        <v/>
      </c>
      <c r="H83">
        <f>COUNTIF(Schedule!$L$4:$L$34,$A83)</f>
        <v/>
      </c>
      <c r="I83">
        <f>COUNTIF(Schedule!$M$4:$M$34,$A83)</f>
        <v/>
      </c>
      <c r="J83">
        <f>SUM(H83:I83)</f>
        <v/>
      </c>
      <c r="K83">
        <f>IFERROR(IF(B83&lt;=VLOOKUP(TRIM($A83),Personnel!$A:$N,13,0),"OK","ΥΠΕΡΒΑΣΗ"),"!")</f>
        <v/>
      </c>
      <c r="L83">
        <f>IFERROR(IF(C83&lt;=VLOOKUP(TRIM($A83),Personnel!$A:$N,14,0),"OK","ΠΟΛΛΑ ΣΚ"),"!")</f>
        <v/>
      </c>
    </row>
    <row r="84">
      <c r="A84" t="inlineStr">
        <is>
          <t>ΒΛΑΧΟΣ ΜΑΡΙΟΣ</t>
        </is>
      </c>
      <c r="B84">
        <f>SUM(D84:G84)</f>
        <v/>
      </c>
      <c r="C84">
        <f>COUNTIFS(Schedule!$A$4:$A$34,"Σάββατο",Schedule!$C$4:$C$34,$A84)+COUNTIFS(Schedule!$A$4:$A$34,"Σάββατο",Schedule!$D$4:$D$34,$A84)+COUNTIFS(Schedule!$A$4:$A$34,"Σάββατο",Schedule!$E$4:$E$34,$A84)+COUNTIFS(Schedule!$A$4:$A$34,"Σάββατο",Schedule!$F$4:$F$34,$A84)+COUNTIFS(Schedule!$A$4:$A$34,"Σάββατο",Schedule!$G$4:$G$34,$A84)+COUNTIFS(Schedule!$A$4:$A$34,"Σάββατο",Schedule!$H$4:$H$34,$A84)+COUNTIFS(Schedule!$A$4:$A$34,"Σάββατο",Schedule!$I$4:$I$34,$A84)+COUNTIFS(Schedule!$A$4:$A$34,"Σάββατο",Schedule!$J$4:$J$34,$A84)+COUNTIFS(Schedule!$A$4:$A$34,"Σάββατο",Schedule!$K$4:$K$34,$A84)+COUNTIFS(Schedule!$A$4:$A$34,"Κυριακή",Schedule!$C$4:$C$34,$A84)+COUNTIFS(Schedule!$A$4:$A$34,"Κυριακή",Schedule!$D$4:$D$34,$A84)+COUNTIFS(Schedule!$A$4:$A$34,"Κυριακή",Schedule!$E$4:$E$34,$A84)+COUNTIFS(Schedule!$A$4:$A$34,"Κυριακή",Schedule!$F$4:$F$34,$A84)+COUNTIFS(Schedule!$A$4:$A$34,"Κυριακή",Schedule!$G$4:$G$34,$A84)+COUNTIFS(Schedule!$A$4:$A$34,"Κυριακή",Schedule!$H$4:$H$34,$A84)+COUNTIFS(Schedule!$A$4:$A$34,"Κυριακή",Schedule!$I$4:$I$34,$A84)+COUNTIFS(Schedule!$A$4:$A$34,"Κυριακή",Schedule!$J$4:$J$34,$A84)+COUNTIFS(Schedule!$A$4:$A$34,"Κυριακή",Schedule!$K$4:$K$34,$A84)</f>
        <v/>
      </c>
      <c r="D84">
        <f>COUNTIF(Schedule!$C$4:$C$34,$A84)+COUNTIF(Schedule!$D$4:$D$34,$A84)+COUNTIF(Schedule!$E$4:$E$34,$A84)+COUNTIF(Schedule!$F$4:$F$34,$A84)</f>
        <v/>
      </c>
      <c r="E84">
        <f>COUNTIF(Schedule!$G$4:$G$34,$A84)+COUNTIF(Schedule!$H$4:$H$34,$A84)</f>
        <v/>
      </c>
      <c r="F84">
        <f>COUNTIF(Schedule!$I$4:$I$34,$A84)+COUNTIF(Schedule!$J$4:$J$34,$A84)</f>
        <v/>
      </c>
      <c r="G84">
        <f>COUNTIF(Schedule!$K$4:$K$34,$A84)</f>
        <v/>
      </c>
      <c r="H84">
        <f>COUNTIF(Schedule!$L$4:$L$34,$A84)</f>
        <v/>
      </c>
      <c r="I84">
        <f>COUNTIF(Schedule!$M$4:$M$34,$A84)</f>
        <v/>
      </c>
      <c r="J84">
        <f>SUM(H84:I84)</f>
        <v/>
      </c>
      <c r="K84">
        <f>IFERROR(IF(B84&lt;=VLOOKUP(TRIM($A84),Personnel!$A:$N,13,0),"OK","ΥΠΕΡΒΑΣΗ"),"!")</f>
        <v/>
      </c>
      <c r="L84">
        <f>IFERROR(IF(C84&lt;=VLOOKUP(TRIM($A84),Personnel!$A:$N,14,0),"OK","ΠΟΛΛΑ ΣΚ"),"!")</f>
        <v/>
      </c>
    </row>
    <row r="85">
      <c r="A85" t="inlineStr">
        <is>
          <t>ΣΑΓΙΑΝΝΗΣ ΓΕΩΡΓΙΟΣ</t>
        </is>
      </c>
      <c r="B85">
        <f>SUM(D85:G85)</f>
        <v/>
      </c>
      <c r="C85">
        <f>COUNTIFS(Schedule!$A$4:$A$34,"Σάββατο",Schedule!$C$4:$C$34,$A85)+COUNTIFS(Schedule!$A$4:$A$34,"Σάββατο",Schedule!$D$4:$D$34,$A85)+COUNTIFS(Schedule!$A$4:$A$34,"Σάββατο",Schedule!$E$4:$E$34,$A85)+COUNTIFS(Schedule!$A$4:$A$34,"Σάββατο",Schedule!$F$4:$F$34,$A85)+COUNTIFS(Schedule!$A$4:$A$34,"Σάββατο",Schedule!$G$4:$G$34,$A85)+COUNTIFS(Schedule!$A$4:$A$34,"Σάββατο",Schedule!$H$4:$H$34,$A85)+COUNTIFS(Schedule!$A$4:$A$34,"Σάββατο",Schedule!$I$4:$I$34,$A85)+COUNTIFS(Schedule!$A$4:$A$34,"Σάββατο",Schedule!$J$4:$J$34,$A85)+COUNTIFS(Schedule!$A$4:$A$34,"Σάββατο",Schedule!$K$4:$K$34,$A85)+COUNTIFS(Schedule!$A$4:$A$34,"Κυριακή",Schedule!$C$4:$C$34,$A85)+COUNTIFS(Schedule!$A$4:$A$34,"Κυριακή",Schedule!$D$4:$D$34,$A85)+COUNTIFS(Schedule!$A$4:$A$34,"Κυριακή",Schedule!$E$4:$E$34,$A85)+COUNTIFS(Schedule!$A$4:$A$34,"Κυριακή",Schedule!$F$4:$F$34,$A85)+COUNTIFS(Schedule!$A$4:$A$34,"Κυριακή",Schedule!$G$4:$G$34,$A85)+COUNTIFS(Schedule!$A$4:$A$34,"Κυριακή",Schedule!$H$4:$H$34,$A85)+COUNTIFS(Schedule!$A$4:$A$34,"Κυριακή",Schedule!$I$4:$I$34,$A85)+COUNTIFS(Schedule!$A$4:$A$34,"Κυριακή",Schedule!$J$4:$J$34,$A85)+COUNTIFS(Schedule!$A$4:$A$34,"Κυριακή",Schedule!$K$4:$K$34,$A85)</f>
        <v/>
      </c>
      <c r="D85">
        <f>COUNTIF(Schedule!$C$4:$C$34,$A85)+COUNTIF(Schedule!$D$4:$D$34,$A85)+COUNTIF(Schedule!$E$4:$E$34,$A85)+COUNTIF(Schedule!$F$4:$F$34,$A85)</f>
        <v/>
      </c>
      <c r="E85">
        <f>COUNTIF(Schedule!$G$4:$G$34,$A85)+COUNTIF(Schedule!$H$4:$H$34,$A85)</f>
        <v/>
      </c>
      <c r="F85">
        <f>COUNTIF(Schedule!$I$4:$I$34,$A85)+COUNTIF(Schedule!$J$4:$J$34,$A85)</f>
        <v/>
      </c>
      <c r="G85">
        <f>COUNTIF(Schedule!$K$4:$K$34,$A85)</f>
        <v/>
      </c>
      <c r="H85">
        <f>COUNTIF(Schedule!$L$4:$L$34,$A85)</f>
        <v/>
      </c>
      <c r="I85">
        <f>COUNTIF(Schedule!$M$4:$M$34,$A85)</f>
        <v/>
      </c>
      <c r="J85">
        <f>SUM(H85:I85)</f>
        <v/>
      </c>
      <c r="K85">
        <f>IFERROR(IF(B85&lt;=VLOOKUP(TRIM($A85),Personnel!$A:$N,13,0),"OK","ΥΠΕΡΒΑΣΗ"),"!")</f>
        <v/>
      </c>
      <c r="L85">
        <f>IFERROR(IF(C85&lt;=VLOOKUP(TRIM($A85),Personnel!$A:$N,14,0),"OK","ΠΟΛΛΑ ΣΚ"),"!")</f>
        <v/>
      </c>
    </row>
    <row r="86">
      <c r="A86" t="inlineStr">
        <is>
          <t>ΚΑΡΑΜΑΝΗΣ ΝΙΚΟΛΑΟΣ</t>
        </is>
      </c>
      <c r="B86">
        <f>SUM(D86:G86)</f>
        <v/>
      </c>
      <c r="C86">
        <f>COUNTIFS(Schedule!$A$4:$A$34,"Σάββατο",Schedule!$C$4:$C$34,$A86)+COUNTIFS(Schedule!$A$4:$A$34,"Σάββατο",Schedule!$D$4:$D$34,$A86)+COUNTIFS(Schedule!$A$4:$A$34,"Σάββατο",Schedule!$E$4:$E$34,$A86)+COUNTIFS(Schedule!$A$4:$A$34,"Σάββατο",Schedule!$F$4:$F$34,$A86)+COUNTIFS(Schedule!$A$4:$A$34,"Σάββατο",Schedule!$G$4:$G$34,$A86)+COUNTIFS(Schedule!$A$4:$A$34,"Σάββατο",Schedule!$H$4:$H$34,$A86)+COUNTIFS(Schedule!$A$4:$A$34,"Σάββατο",Schedule!$I$4:$I$34,$A86)+COUNTIFS(Schedule!$A$4:$A$34,"Σάββατο",Schedule!$J$4:$J$34,$A86)+COUNTIFS(Schedule!$A$4:$A$34,"Σάββατο",Schedule!$K$4:$K$34,$A86)+COUNTIFS(Schedule!$A$4:$A$34,"Κυριακή",Schedule!$C$4:$C$34,$A86)+COUNTIFS(Schedule!$A$4:$A$34,"Κυριακή",Schedule!$D$4:$D$34,$A86)+COUNTIFS(Schedule!$A$4:$A$34,"Κυριακή",Schedule!$E$4:$E$34,$A86)+COUNTIFS(Schedule!$A$4:$A$34,"Κυριακή",Schedule!$F$4:$F$34,$A86)+COUNTIFS(Schedule!$A$4:$A$34,"Κυριακή",Schedule!$G$4:$G$34,$A86)+COUNTIFS(Schedule!$A$4:$A$34,"Κυριακή",Schedule!$H$4:$H$34,$A86)+COUNTIFS(Schedule!$A$4:$A$34,"Κυριακή",Schedule!$I$4:$I$34,$A86)+COUNTIFS(Schedule!$A$4:$A$34,"Κυριακή",Schedule!$J$4:$J$34,$A86)+COUNTIFS(Schedule!$A$4:$A$34,"Κυριακή",Schedule!$K$4:$K$34,$A86)</f>
        <v/>
      </c>
      <c r="D86">
        <f>COUNTIF(Schedule!$C$4:$C$34,$A86)+COUNTIF(Schedule!$D$4:$D$34,$A86)+COUNTIF(Schedule!$E$4:$E$34,$A86)+COUNTIF(Schedule!$F$4:$F$34,$A86)</f>
        <v/>
      </c>
      <c r="E86">
        <f>COUNTIF(Schedule!$G$4:$G$34,$A86)+COUNTIF(Schedule!$H$4:$H$34,$A86)</f>
        <v/>
      </c>
      <c r="F86">
        <f>COUNTIF(Schedule!$I$4:$I$34,$A86)+COUNTIF(Schedule!$J$4:$J$34,$A86)</f>
        <v/>
      </c>
      <c r="G86">
        <f>COUNTIF(Schedule!$K$4:$K$34,$A86)</f>
        <v/>
      </c>
      <c r="H86">
        <f>COUNTIF(Schedule!$L$4:$L$34,$A86)</f>
        <v/>
      </c>
      <c r="I86">
        <f>COUNTIF(Schedule!$M$4:$M$34,$A86)</f>
        <v/>
      </c>
      <c r="J86">
        <f>SUM(H86:I86)</f>
        <v/>
      </c>
      <c r="K86">
        <f>IFERROR(IF(B86&lt;=VLOOKUP(TRIM($A86),Personnel!$A:$N,13,0),"OK","ΥΠΕΡΒΑΣΗ"),"!")</f>
        <v/>
      </c>
      <c r="L86">
        <f>IFERROR(IF(C86&lt;=VLOOKUP(TRIM($A86),Personnel!$A:$N,14,0),"OK","ΠΟΛΛΑ ΣΚ"),"!")</f>
        <v/>
      </c>
    </row>
    <row r="87">
      <c r="A87" t="inlineStr">
        <is>
          <t>ΠΟΤΟΛΙΑΣ ΑΝΑΣΤΑΣΙΟΣ</t>
        </is>
      </c>
      <c r="B87">
        <f>SUM(D87:G87)</f>
        <v/>
      </c>
      <c r="C87">
        <f>COUNTIFS(Schedule!$A$4:$A$34,"Σάββατο",Schedule!$C$4:$C$34,$A87)+COUNTIFS(Schedule!$A$4:$A$34,"Σάββατο",Schedule!$D$4:$D$34,$A87)+COUNTIFS(Schedule!$A$4:$A$34,"Σάββατο",Schedule!$E$4:$E$34,$A87)+COUNTIFS(Schedule!$A$4:$A$34,"Σάββατο",Schedule!$F$4:$F$34,$A87)+COUNTIFS(Schedule!$A$4:$A$34,"Σάββατο",Schedule!$G$4:$G$34,$A87)+COUNTIFS(Schedule!$A$4:$A$34,"Σάββατο",Schedule!$H$4:$H$34,$A87)+COUNTIFS(Schedule!$A$4:$A$34,"Σάββατο",Schedule!$I$4:$I$34,$A87)+COUNTIFS(Schedule!$A$4:$A$34,"Σάββατο",Schedule!$J$4:$J$34,$A87)+COUNTIFS(Schedule!$A$4:$A$34,"Σάββατο",Schedule!$K$4:$K$34,$A87)+COUNTIFS(Schedule!$A$4:$A$34,"Κυριακή",Schedule!$C$4:$C$34,$A87)+COUNTIFS(Schedule!$A$4:$A$34,"Κυριακή",Schedule!$D$4:$D$34,$A87)+COUNTIFS(Schedule!$A$4:$A$34,"Κυριακή",Schedule!$E$4:$E$34,$A87)+COUNTIFS(Schedule!$A$4:$A$34,"Κυριακή",Schedule!$F$4:$F$34,$A87)+COUNTIFS(Schedule!$A$4:$A$34,"Κυριακή",Schedule!$G$4:$G$34,$A87)+COUNTIFS(Schedule!$A$4:$A$34,"Κυριακή",Schedule!$H$4:$H$34,$A87)+COUNTIFS(Schedule!$A$4:$A$34,"Κυριακή",Schedule!$I$4:$I$34,$A87)+COUNTIFS(Schedule!$A$4:$A$34,"Κυριακή",Schedule!$J$4:$J$34,$A87)+COUNTIFS(Schedule!$A$4:$A$34,"Κυριακή",Schedule!$K$4:$K$34,$A87)</f>
        <v/>
      </c>
      <c r="D87">
        <f>COUNTIF(Schedule!$C$4:$C$34,$A87)+COUNTIF(Schedule!$D$4:$D$34,$A87)+COUNTIF(Schedule!$E$4:$E$34,$A87)+COUNTIF(Schedule!$F$4:$F$34,$A87)</f>
        <v/>
      </c>
      <c r="E87">
        <f>COUNTIF(Schedule!$G$4:$G$34,$A87)+COUNTIF(Schedule!$H$4:$H$34,$A87)</f>
        <v/>
      </c>
      <c r="F87">
        <f>COUNTIF(Schedule!$I$4:$I$34,$A87)+COUNTIF(Schedule!$J$4:$J$34,$A87)</f>
        <v/>
      </c>
      <c r="G87">
        <f>COUNTIF(Schedule!$K$4:$K$34,$A87)</f>
        <v/>
      </c>
      <c r="H87">
        <f>COUNTIF(Schedule!$L$4:$L$34,$A87)</f>
        <v/>
      </c>
      <c r="I87">
        <f>COUNTIF(Schedule!$M$4:$M$34,$A87)</f>
        <v/>
      </c>
      <c r="J87">
        <f>SUM(H87:I87)</f>
        <v/>
      </c>
      <c r="K87">
        <f>IFERROR(IF(B87&lt;=VLOOKUP(TRIM($A87),Personnel!$A:$N,13,0),"OK","ΥΠΕΡΒΑΣΗ"),"!")</f>
        <v/>
      </c>
      <c r="L87">
        <f>IFERROR(IF(C87&lt;=VLOOKUP(TRIM($A87),Personnel!$A:$N,14,0),"OK","ΠΟΛΛΑ ΣΚ"),"!")</f>
        <v/>
      </c>
    </row>
    <row r="88">
      <c r="A88" t="inlineStr">
        <is>
          <t>ΚΑΤΣΑΡΗΣ ΑΘΑΝΑΣΙΟΣ</t>
        </is>
      </c>
      <c r="B88">
        <f>SUM(D88:G88)</f>
        <v/>
      </c>
      <c r="C88">
        <f>COUNTIFS(Schedule!$A$4:$A$34,"Σάββατο",Schedule!$C$4:$C$34,$A88)+COUNTIFS(Schedule!$A$4:$A$34,"Σάββατο",Schedule!$D$4:$D$34,$A88)+COUNTIFS(Schedule!$A$4:$A$34,"Σάββατο",Schedule!$E$4:$E$34,$A88)+COUNTIFS(Schedule!$A$4:$A$34,"Σάββατο",Schedule!$F$4:$F$34,$A88)+COUNTIFS(Schedule!$A$4:$A$34,"Σάββατο",Schedule!$G$4:$G$34,$A88)+COUNTIFS(Schedule!$A$4:$A$34,"Σάββατο",Schedule!$H$4:$H$34,$A88)+COUNTIFS(Schedule!$A$4:$A$34,"Σάββατο",Schedule!$I$4:$I$34,$A88)+COUNTIFS(Schedule!$A$4:$A$34,"Σάββατο",Schedule!$J$4:$J$34,$A88)+COUNTIFS(Schedule!$A$4:$A$34,"Σάββατο",Schedule!$K$4:$K$34,$A88)+COUNTIFS(Schedule!$A$4:$A$34,"Κυριακή",Schedule!$C$4:$C$34,$A88)+COUNTIFS(Schedule!$A$4:$A$34,"Κυριακή",Schedule!$D$4:$D$34,$A88)+COUNTIFS(Schedule!$A$4:$A$34,"Κυριακή",Schedule!$E$4:$E$34,$A88)+COUNTIFS(Schedule!$A$4:$A$34,"Κυριακή",Schedule!$F$4:$F$34,$A88)+COUNTIFS(Schedule!$A$4:$A$34,"Κυριακή",Schedule!$G$4:$G$34,$A88)+COUNTIFS(Schedule!$A$4:$A$34,"Κυριακή",Schedule!$H$4:$H$34,$A88)+COUNTIFS(Schedule!$A$4:$A$34,"Κυριακή",Schedule!$I$4:$I$34,$A88)+COUNTIFS(Schedule!$A$4:$A$34,"Κυριακή",Schedule!$J$4:$J$34,$A88)+COUNTIFS(Schedule!$A$4:$A$34,"Κυριακή",Schedule!$K$4:$K$34,$A88)</f>
        <v/>
      </c>
      <c r="D88">
        <f>COUNTIF(Schedule!$C$4:$C$34,$A88)+COUNTIF(Schedule!$D$4:$D$34,$A88)+COUNTIF(Schedule!$E$4:$E$34,$A88)+COUNTIF(Schedule!$F$4:$F$34,$A88)</f>
        <v/>
      </c>
      <c r="E88">
        <f>COUNTIF(Schedule!$G$4:$G$34,$A88)+COUNTIF(Schedule!$H$4:$H$34,$A88)</f>
        <v/>
      </c>
      <c r="F88">
        <f>COUNTIF(Schedule!$I$4:$I$34,$A88)+COUNTIF(Schedule!$J$4:$J$34,$A88)</f>
        <v/>
      </c>
      <c r="G88">
        <f>COUNTIF(Schedule!$K$4:$K$34,$A88)</f>
        <v/>
      </c>
      <c r="H88">
        <f>COUNTIF(Schedule!$L$4:$L$34,$A88)</f>
        <v/>
      </c>
      <c r="I88">
        <f>COUNTIF(Schedule!$M$4:$M$34,$A88)</f>
        <v/>
      </c>
      <c r="J88">
        <f>SUM(H88:I88)</f>
        <v/>
      </c>
      <c r="K88">
        <f>IFERROR(IF(B88&lt;=VLOOKUP(TRIM($A88),Personnel!$A:$N,13,0),"OK","ΥΠΕΡΒΑΣΗ"),"!")</f>
        <v/>
      </c>
      <c r="L88">
        <f>IFERROR(IF(C88&lt;=VLOOKUP(TRIM($A88),Personnel!$A:$N,14,0),"OK","ΠΟΛΛΑ ΣΚ"),"!")</f>
        <v/>
      </c>
    </row>
    <row r="89">
      <c r="A89" t="inlineStr">
        <is>
          <t>ΚΑΠΟΥΛΑΣ ΗΛΙΑΣ</t>
        </is>
      </c>
      <c r="B89">
        <f>SUM(D89:G89)</f>
        <v/>
      </c>
      <c r="C89">
        <f>COUNTIFS(Schedule!$A$4:$A$34,"Σάββατο",Schedule!$C$4:$C$34,$A89)+COUNTIFS(Schedule!$A$4:$A$34,"Σάββατο",Schedule!$D$4:$D$34,$A89)+COUNTIFS(Schedule!$A$4:$A$34,"Σάββατο",Schedule!$E$4:$E$34,$A89)+COUNTIFS(Schedule!$A$4:$A$34,"Σάββατο",Schedule!$F$4:$F$34,$A89)+COUNTIFS(Schedule!$A$4:$A$34,"Σάββατο",Schedule!$G$4:$G$34,$A89)+COUNTIFS(Schedule!$A$4:$A$34,"Σάββατο",Schedule!$H$4:$H$34,$A89)+COUNTIFS(Schedule!$A$4:$A$34,"Σάββατο",Schedule!$I$4:$I$34,$A89)+COUNTIFS(Schedule!$A$4:$A$34,"Σάββατο",Schedule!$J$4:$J$34,$A89)+COUNTIFS(Schedule!$A$4:$A$34,"Σάββατο",Schedule!$K$4:$K$34,$A89)+COUNTIFS(Schedule!$A$4:$A$34,"Κυριακή",Schedule!$C$4:$C$34,$A89)+COUNTIFS(Schedule!$A$4:$A$34,"Κυριακή",Schedule!$D$4:$D$34,$A89)+COUNTIFS(Schedule!$A$4:$A$34,"Κυριακή",Schedule!$E$4:$E$34,$A89)+COUNTIFS(Schedule!$A$4:$A$34,"Κυριακή",Schedule!$F$4:$F$34,$A89)+COUNTIFS(Schedule!$A$4:$A$34,"Κυριακή",Schedule!$G$4:$G$34,$A89)+COUNTIFS(Schedule!$A$4:$A$34,"Κυριακή",Schedule!$H$4:$H$34,$A89)+COUNTIFS(Schedule!$A$4:$A$34,"Κυριακή",Schedule!$I$4:$I$34,$A89)+COUNTIFS(Schedule!$A$4:$A$34,"Κυριακή",Schedule!$J$4:$J$34,$A89)+COUNTIFS(Schedule!$A$4:$A$34,"Κυριακή",Schedule!$K$4:$K$34,$A89)</f>
        <v/>
      </c>
      <c r="D89">
        <f>COUNTIF(Schedule!$C$4:$C$34,$A89)+COUNTIF(Schedule!$D$4:$D$34,$A89)+COUNTIF(Schedule!$E$4:$E$34,$A89)+COUNTIF(Schedule!$F$4:$F$34,$A89)</f>
        <v/>
      </c>
      <c r="E89">
        <f>COUNTIF(Schedule!$G$4:$G$34,$A89)+COUNTIF(Schedule!$H$4:$H$34,$A89)</f>
        <v/>
      </c>
      <c r="F89">
        <f>COUNTIF(Schedule!$I$4:$I$34,$A89)+COUNTIF(Schedule!$J$4:$J$34,$A89)</f>
        <v/>
      </c>
      <c r="G89">
        <f>COUNTIF(Schedule!$K$4:$K$34,$A89)</f>
        <v/>
      </c>
      <c r="H89">
        <f>COUNTIF(Schedule!$L$4:$L$34,$A89)</f>
        <v/>
      </c>
      <c r="I89">
        <f>COUNTIF(Schedule!$M$4:$M$34,$A89)</f>
        <v/>
      </c>
      <c r="J89">
        <f>SUM(H89:I89)</f>
        <v/>
      </c>
      <c r="K89">
        <f>IFERROR(IF(B89&lt;=VLOOKUP(TRIM($A89),Personnel!$A:$N,13,0),"OK","ΥΠΕΡΒΑΣΗ"),"!")</f>
        <v/>
      </c>
      <c r="L89">
        <f>IFERROR(IF(C89&lt;=VLOOKUP(TRIM($A89),Personnel!$A:$N,14,0),"OK","ΠΟΛΛΑ ΣΚ"),"!")</f>
        <v/>
      </c>
    </row>
    <row r="90">
      <c r="A90" t="inlineStr">
        <is>
          <t>ΧΡΥΣΑΝΘΟΣ ΑΝΤΩΝΙΟΣ ΔΑΛΕΖΙΟΣ</t>
        </is>
      </c>
      <c r="B90">
        <f>SUM(D90:G90)</f>
        <v/>
      </c>
      <c r="C90">
        <f>COUNTIFS(Schedule!$A$4:$A$34,"Σάββατο",Schedule!$C$4:$C$34,$A90)+COUNTIFS(Schedule!$A$4:$A$34,"Σάββατο",Schedule!$D$4:$D$34,$A90)+COUNTIFS(Schedule!$A$4:$A$34,"Σάββατο",Schedule!$E$4:$E$34,$A90)+COUNTIFS(Schedule!$A$4:$A$34,"Σάββατο",Schedule!$F$4:$F$34,$A90)+COUNTIFS(Schedule!$A$4:$A$34,"Σάββατο",Schedule!$G$4:$G$34,$A90)+COUNTIFS(Schedule!$A$4:$A$34,"Σάββατο",Schedule!$H$4:$H$34,$A90)+COUNTIFS(Schedule!$A$4:$A$34,"Σάββατο",Schedule!$I$4:$I$34,$A90)+COUNTIFS(Schedule!$A$4:$A$34,"Σάββατο",Schedule!$J$4:$J$34,$A90)+COUNTIFS(Schedule!$A$4:$A$34,"Σάββατο",Schedule!$K$4:$K$34,$A90)+COUNTIFS(Schedule!$A$4:$A$34,"Κυριακή",Schedule!$C$4:$C$34,$A90)+COUNTIFS(Schedule!$A$4:$A$34,"Κυριακή",Schedule!$D$4:$D$34,$A90)+COUNTIFS(Schedule!$A$4:$A$34,"Κυριακή",Schedule!$E$4:$E$34,$A90)+COUNTIFS(Schedule!$A$4:$A$34,"Κυριακή",Schedule!$F$4:$F$34,$A90)+COUNTIFS(Schedule!$A$4:$A$34,"Κυριακή",Schedule!$G$4:$G$34,$A90)+COUNTIFS(Schedule!$A$4:$A$34,"Κυριακή",Schedule!$H$4:$H$34,$A90)+COUNTIFS(Schedule!$A$4:$A$34,"Κυριακή",Schedule!$I$4:$I$34,$A90)+COUNTIFS(Schedule!$A$4:$A$34,"Κυριακή",Schedule!$J$4:$J$34,$A90)+COUNTIFS(Schedule!$A$4:$A$34,"Κυριακή",Schedule!$K$4:$K$34,$A90)</f>
        <v/>
      </c>
      <c r="D90">
        <f>COUNTIF(Schedule!$C$4:$C$34,$A90)+COUNTIF(Schedule!$D$4:$D$34,$A90)+COUNTIF(Schedule!$E$4:$E$34,$A90)+COUNTIF(Schedule!$F$4:$F$34,$A90)</f>
        <v/>
      </c>
      <c r="E90">
        <f>COUNTIF(Schedule!$G$4:$G$34,$A90)+COUNTIF(Schedule!$H$4:$H$34,$A90)</f>
        <v/>
      </c>
      <c r="F90">
        <f>COUNTIF(Schedule!$I$4:$I$34,$A90)+COUNTIF(Schedule!$J$4:$J$34,$A90)</f>
        <v/>
      </c>
      <c r="G90">
        <f>COUNTIF(Schedule!$K$4:$K$34,$A90)</f>
        <v/>
      </c>
      <c r="H90">
        <f>COUNTIF(Schedule!$L$4:$L$34,$A90)</f>
        <v/>
      </c>
      <c r="I90">
        <f>COUNTIF(Schedule!$M$4:$M$34,$A90)</f>
        <v/>
      </c>
      <c r="J90">
        <f>SUM(H90:I90)</f>
        <v/>
      </c>
      <c r="K90">
        <f>IFERROR(IF(B90&lt;=VLOOKUP(TRIM($A90),Personnel!$A:$N,13,0),"OK","ΥΠΕΡΒΑΣΗ"),"!")</f>
        <v/>
      </c>
      <c r="L90">
        <f>IFERROR(IF(C90&lt;=VLOOKUP(TRIM($A90),Personnel!$A:$N,14,0),"OK","ΠΟΛΛΑ ΣΚ"),"!")</f>
        <v/>
      </c>
    </row>
    <row r="91">
      <c r="A91" t="inlineStr">
        <is>
          <t>ΠΡΑΓΓΙΔΗΣ ΣΩΤΗΡΙΟΣ</t>
        </is>
      </c>
      <c r="B91">
        <f>SUM(D91:G91)</f>
        <v/>
      </c>
      <c r="C91">
        <f>COUNTIFS(Schedule!$A$4:$A$34,"Σάββατο",Schedule!$C$4:$C$34,$A91)+COUNTIFS(Schedule!$A$4:$A$34,"Σάββατο",Schedule!$D$4:$D$34,$A91)+COUNTIFS(Schedule!$A$4:$A$34,"Σάββατο",Schedule!$E$4:$E$34,$A91)+COUNTIFS(Schedule!$A$4:$A$34,"Σάββατο",Schedule!$F$4:$F$34,$A91)+COUNTIFS(Schedule!$A$4:$A$34,"Σάββατο",Schedule!$G$4:$G$34,$A91)+COUNTIFS(Schedule!$A$4:$A$34,"Σάββατο",Schedule!$H$4:$H$34,$A91)+COUNTIFS(Schedule!$A$4:$A$34,"Σάββατο",Schedule!$I$4:$I$34,$A91)+COUNTIFS(Schedule!$A$4:$A$34,"Σάββατο",Schedule!$J$4:$J$34,$A91)+COUNTIFS(Schedule!$A$4:$A$34,"Σάββατο",Schedule!$K$4:$K$34,$A91)+COUNTIFS(Schedule!$A$4:$A$34,"Κυριακή",Schedule!$C$4:$C$34,$A91)+COUNTIFS(Schedule!$A$4:$A$34,"Κυριακή",Schedule!$D$4:$D$34,$A91)+COUNTIFS(Schedule!$A$4:$A$34,"Κυριακή",Schedule!$E$4:$E$34,$A91)+COUNTIFS(Schedule!$A$4:$A$34,"Κυριακή",Schedule!$F$4:$F$34,$A91)+COUNTIFS(Schedule!$A$4:$A$34,"Κυριακή",Schedule!$G$4:$G$34,$A91)+COUNTIFS(Schedule!$A$4:$A$34,"Κυριακή",Schedule!$H$4:$H$34,$A91)+COUNTIFS(Schedule!$A$4:$A$34,"Κυριακή",Schedule!$I$4:$I$34,$A91)+COUNTIFS(Schedule!$A$4:$A$34,"Κυριακή",Schedule!$J$4:$J$34,$A91)+COUNTIFS(Schedule!$A$4:$A$34,"Κυριακή",Schedule!$K$4:$K$34,$A91)</f>
        <v/>
      </c>
      <c r="D91">
        <f>COUNTIF(Schedule!$C$4:$C$34,$A91)+COUNTIF(Schedule!$D$4:$D$34,$A91)+COUNTIF(Schedule!$E$4:$E$34,$A91)+COUNTIF(Schedule!$F$4:$F$34,$A91)</f>
        <v/>
      </c>
      <c r="E91">
        <f>COUNTIF(Schedule!$G$4:$G$34,$A91)+COUNTIF(Schedule!$H$4:$H$34,$A91)</f>
        <v/>
      </c>
      <c r="F91">
        <f>COUNTIF(Schedule!$I$4:$I$34,$A91)+COUNTIF(Schedule!$J$4:$J$34,$A91)</f>
        <v/>
      </c>
      <c r="G91">
        <f>COUNTIF(Schedule!$K$4:$K$34,$A91)</f>
        <v/>
      </c>
      <c r="H91">
        <f>COUNTIF(Schedule!$L$4:$L$34,$A91)</f>
        <v/>
      </c>
      <c r="I91">
        <f>COUNTIF(Schedule!$M$4:$M$34,$A91)</f>
        <v/>
      </c>
      <c r="J91">
        <f>SUM(H91:I91)</f>
        <v/>
      </c>
      <c r="K91">
        <f>IFERROR(IF(B91&lt;=VLOOKUP(TRIM($A91),Personnel!$A:$N,13,0),"OK","ΥΠΕΡΒΑΣΗ"),"!")</f>
        <v/>
      </c>
      <c r="L91">
        <f>IFERROR(IF(C91&lt;=VLOOKUP(TRIM($A91),Personnel!$A:$N,14,0),"OK","ΠΟΛΛΑ ΣΚ"),"!")</f>
        <v/>
      </c>
    </row>
    <row r="92">
      <c r="A92" t="inlineStr">
        <is>
          <t>ΣΙΑΓΚΑΣ ΑΘΑΝΑΣΙΟΣ</t>
        </is>
      </c>
      <c r="B92">
        <f>SUM(D92:G92)</f>
        <v/>
      </c>
      <c r="C92">
        <f>COUNTIFS(Schedule!$A$4:$A$34,"Σάββατο",Schedule!$C$4:$C$34,$A92)+COUNTIFS(Schedule!$A$4:$A$34,"Σάββατο",Schedule!$D$4:$D$34,$A92)+COUNTIFS(Schedule!$A$4:$A$34,"Σάββατο",Schedule!$E$4:$E$34,$A92)+COUNTIFS(Schedule!$A$4:$A$34,"Σάββατο",Schedule!$F$4:$F$34,$A92)+COUNTIFS(Schedule!$A$4:$A$34,"Σάββατο",Schedule!$G$4:$G$34,$A92)+COUNTIFS(Schedule!$A$4:$A$34,"Σάββατο",Schedule!$H$4:$H$34,$A92)+COUNTIFS(Schedule!$A$4:$A$34,"Σάββατο",Schedule!$I$4:$I$34,$A92)+COUNTIFS(Schedule!$A$4:$A$34,"Σάββατο",Schedule!$J$4:$J$34,$A92)+COUNTIFS(Schedule!$A$4:$A$34,"Σάββατο",Schedule!$K$4:$K$34,$A92)+COUNTIFS(Schedule!$A$4:$A$34,"Κυριακή",Schedule!$C$4:$C$34,$A92)+COUNTIFS(Schedule!$A$4:$A$34,"Κυριακή",Schedule!$D$4:$D$34,$A92)+COUNTIFS(Schedule!$A$4:$A$34,"Κυριακή",Schedule!$E$4:$E$34,$A92)+COUNTIFS(Schedule!$A$4:$A$34,"Κυριακή",Schedule!$F$4:$F$34,$A92)+COUNTIFS(Schedule!$A$4:$A$34,"Κυριακή",Schedule!$G$4:$G$34,$A92)+COUNTIFS(Schedule!$A$4:$A$34,"Κυριακή",Schedule!$H$4:$H$34,$A92)+COUNTIFS(Schedule!$A$4:$A$34,"Κυριακή",Schedule!$I$4:$I$34,$A92)+COUNTIFS(Schedule!$A$4:$A$34,"Κυριακή",Schedule!$J$4:$J$34,$A92)+COUNTIFS(Schedule!$A$4:$A$34,"Κυριακή",Schedule!$K$4:$K$34,$A92)</f>
        <v/>
      </c>
      <c r="D92">
        <f>COUNTIF(Schedule!$C$4:$C$34,$A92)+COUNTIF(Schedule!$D$4:$D$34,$A92)+COUNTIF(Schedule!$E$4:$E$34,$A92)+COUNTIF(Schedule!$F$4:$F$34,$A92)</f>
        <v/>
      </c>
      <c r="E92">
        <f>COUNTIF(Schedule!$G$4:$G$34,$A92)+COUNTIF(Schedule!$H$4:$H$34,$A92)</f>
        <v/>
      </c>
      <c r="F92">
        <f>COUNTIF(Schedule!$I$4:$I$34,$A92)+COUNTIF(Schedule!$J$4:$J$34,$A92)</f>
        <v/>
      </c>
      <c r="G92">
        <f>COUNTIF(Schedule!$K$4:$K$34,$A92)</f>
        <v/>
      </c>
      <c r="H92">
        <f>COUNTIF(Schedule!$L$4:$L$34,$A92)</f>
        <v/>
      </c>
      <c r="I92">
        <f>COUNTIF(Schedule!$M$4:$M$34,$A92)</f>
        <v/>
      </c>
      <c r="J92">
        <f>SUM(H92:I92)</f>
        <v/>
      </c>
      <c r="K92">
        <f>IFERROR(IF(B92&lt;=VLOOKUP(TRIM($A92),Personnel!$A:$N,13,0),"OK","ΥΠΕΡΒΑΣΗ"),"!")</f>
        <v/>
      </c>
      <c r="L92">
        <f>IFERROR(IF(C92&lt;=VLOOKUP(TRIM($A92),Personnel!$A:$N,14,0),"OK","ΠΟΛΛΑ ΣΚ"),"!")</f>
        <v/>
      </c>
    </row>
    <row r="93">
      <c r="A93" t="inlineStr">
        <is>
          <t>ΚΑΡΑΚΩΣΤΑΣ ΧΑΡΑΛΑΜΠΟΣ</t>
        </is>
      </c>
      <c r="B93">
        <f>SUM(D93:G93)</f>
        <v/>
      </c>
      <c r="C93">
        <f>COUNTIFS(Schedule!$A$4:$A$34,"Σάββατο",Schedule!$C$4:$C$34,$A93)+COUNTIFS(Schedule!$A$4:$A$34,"Σάββατο",Schedule!$D$4:$D$34,$A93)+COUNTIFS(Schedule!$A$4:$A$34,"Σάββατο",Schedule!$E$4:$E$34,$A93)+COUNTIFS(Schedule!$A$4:$A$34,"Σάββατο",Schedule!$F$4:$F$34,$A93)+COUNTIFS(Schedule!$A$4:$A$34,"Σάββατο",Schedule!$G$4:$G$34,$A93)+COUNTIFS(Schedule!$A$4:$A$34,"Σάββατο",Schedule!$H$4:$H$34,$A93)+COUNTIFS(Schedule!$A$4:$A$34,"Σάββατο",Schedule!$I$4:$I$34,$A93)+COUNTIFS(Schedule!$A$4:$A$34,"Σάββατο",Schedule!$J$4:$J$34,$A93)+COUNTIFS(Schedule!$A$4:$A$34,"Σάββατο",Schedule!$K$4:$K$34,$A93)+COUNTIFS(Schedule!$A$4:$A$34,"Κυριακή",Schedule!$C$4:$C$34,$A93)+COUNTIFS(Schedule!$A$4:$A$34,"Κυριακή",Schedule!$D$4:$D$34,$A93)+COUNTIFS(Schedule!$A$4:$A$34,"Κυριακή",Schedule!$E$4:$E$34,$A93)+COUNTIFS(Schedule!$A$4:$A$34,"Κυριακή",Schedule!$F$4:$F$34,$A93)+COUNTIFS(Schedule!$A$4:$A$34,"Κυριακή",Schedule!$G$4:$G$34,$A93)+COUNTIFS(Schedule!$A$4:$A$34,"Κυριακή",Schedule!$H$4:$H$34,$A93)+COUNTIFS(Schedule!$A$4:$A$34,"Κυριακή",Schedule!$I$4:$I$34,$A93)+COUNTIFS(Schedule!$A$4:$A$34,"Κυριακή",Schedule!$J$4:$J$34,$A93)+COUNTIFS(Schedule!$A$4:$A$34,"Κυριακή",Schedule!$K$4:$K$34,$A93)</f>
        <v/>
      </c>
      <c r="D93">
        <f>COUNTIF(Schedule!$C$4:$C$34,$A93)+COUNTIF(Schedule!$D$4:$D$34,$A93)+COUNTIF(Schedule!$E$4:$E$34,$A93)+COUNTIF(Schedule!$F$4:$F$34,$A93)</f>
        <v/>
      </c>
      <c r="E93">
        <f>COUNTIF(Schedule!$G$4:$G$34,$A93)+COUNTIF(Schedule!$H$4:$H$34,$A93)</f>
        <v/>
      </c>
      <c r="F93">
        <f>COUNTIF(Schedule!$I$4:$I$34,$A93)+COUNTIF(Schedule!$J$4:$J$34,$A93)</f>
        <v/>
      </c>
      <c r="G93">
        <f>COUNTIF(Schedule!$K$4:$K$34,$A93)</f>
        <v/>
      </c>
      <c r="H93">
        <f>COUNTIF(Schedule!$L$4:$L$34,$A93)</f>
        <v/>
      </c>
      <c r="I93">
        <f>COUNTIF(Schedule!$M$4:$M$34,$A93)</f>
        <v/>
      </c>
      <c r="J93">
        <f>SUM(H93:I93)</f>
        <v/>
      </c>
      <c r="K93">
        <f>IFERROR(IF(B93&lt;=VLOOKUP(TRIM($A93),Personnel!$A:$N,13,0),"OK","ΥΠΕΡΒΑΣΗ"),"!")</f>
        <v/>
      </c>
      <c r="L93">
        <f>IFERROR(IF(C93&lt;=VLOOKUP(TRIM($A93),Personnel!$A:$N,14,0),"OK","ΠΟΛΛΑ ΣΚ"),"!")</f>
        <v/>
      </c>
    </row>
    <row r="94">
      <c r="A94" t="inlineStr">
        <is>
          <t>ΣΚΥΛΑΚΑΚΗΣ ΑΡΙΣΤΕΙΔΗΣ</t>
        </is>
      </c>
      <c r="B94">
        <f>SUM(D94:G94)</f>
        <v/>
      </c>
      <c r="C94">
        <f>COUNTIFS(Schedule!$A$4:$A$34,"Σάββατο",Schedule!$C$4:$C$34,$A94)+COUNTIFS(Schedule!$A$4:$A$34,"Σάββατο",Schedule!$D$4:$D$34,$A94)+COUNTIFS(Schedule!$A$4:$A$34,"Σάββατο",Schedule!$E$4:$E$34,$A94)+COUNTIFS(Schedule!$A$4:$A$34,"Σάββατο",Schedule!$F$4:$F$34,$A94)+COUNTIFS(Schedule!$A$4:$A$34,"Σάββατο",Schedule!$G$4:$G$34,$A94)+COUNTIFS(Schedule!$A$4:$A$34,"Σάββατο",Schedule!$H$4:$H$34,$A94)+COUNTIFS(Schedule!$A$4:$A$34,"Σάββατο",Schedule!$I$4:$I$34,$A94)+COUNTIFS(Schedule!$A$4:$A$34,"Σάββατο",Schedule!$J$4:$J$34,$A94)+COUNTIFS(Schedule!$A$4:$A$34,"Σάββατο",Schedule!$K$4:$K$34,$A94)+COUNTIFS(Schedule!$A$4:$A$34,"Κυριακή",Schedule!$C$4:$C$34,$A94)+COUNTIFS(Schedule!$A$4:$A$34,"Κυριακή",Schedule!$D$4:$D$34,$A94)+COUNTIFS(Schedule!$A$4:$A$34,"Κυριακή",Schedule!$E$4:$E$34,$A94)+COUNTIFS(Schedule!$A$4:$A$34,"Κυριακή",Schedule!$F$4:$F$34,$A94)+COUNTIFS(Schedule!$A$4:$A$34,"Κυριακή",Schedule!$G$4:$G$34,$A94)+COUNTIFS(Schedule!$A$4:$A$34,"Κυριακή",Schedule!$H$4:$H$34,$A94)+COUNTIFS(Schedule!$A$4:$A$34,"Κυριακή",Schedule!$I$4:$I$34,$A94)+COUNTIFS(Schedule!$A$4:$A$34,"Κυριακή",Schedule!$J$4:$J$34,$A94)+COUNTIFS(Schedule!$A$4:$A$34,"Κυριακή",Schedule!$K$4:$K$34,$A94)</f>
        <v/>
      </c>
      <c r="D94">
        <f>COUNTIF(Schedule!$C$4:$C$34,$A94)+COUNTIF(Schedule!$D$4:$D$34,$A94)+COUNTIF(Schedule!$E$4:$E$34,$A94)+COUNTIF(Schedule!$F$4:$F$34,$A94)</f>
        <v/>
      </c>
      <c r="E94">
        <f>COUNTIF(Schedule!$G$4:$G$34,$A94)+COUNTIF(Schedule!$H$4:$H$34,$A94)</f>
        <v/>
      </c>
      <c r="F94">
        <f>COUNTIF(Schedule!$I$4:$I$34,$A94)+COUNTIF(Schedule!$J$4:$J$34,$A94)</f>
        <v/>
      </c>
      <c r="G94">
        <f>COUNTIF(Schedule!$K$4:$K$34,$A94)</f>
        <v/>
      </c>
      <c r="H94">
        <f>COUNTIF(Schedule!$L$4:$L$34,$A94)</f>
        <v/>
      </c>
      <c r="I94">
        <f>COUNTIF(Schedule!$M$4:$M$34,$A94)</f>
        <v/>
      </c>
      <c r="J94">
        <f>SUM(H94:I94)</f>
        <v/>
      </c>
      <c r="K94">
        <f>IFERROR(IF(B94&lt;=VLOOKUP(TRIM($A94),Personnel!$A:$N,13,0),"OK","ΥΠΕΡΒΑΣΗ"),"!")</f>
        <v/>
      </c>
      <c r="L94">
        <f>IFERROR(IF(C94&lt;=VLOOKUP(TRIM($A94),Personnel!$A:$N,14,0),"OK","ΠΟΛΛΑ ΣΚ"),"!")</f>
        <v/>
      </c>
    </row>
    <row r="95">
      <c r="A95" t="inlineStr">
        <is>
          <t>ΧΑΤΖΗΠΑΝΤΕΛΗΣ ΘΕΟΔΩΡΟΣ ΣΤΥΛΙΑΝΟΣ (ΜΟΝΟ ΒΑΥΔΜ)</t>
        </is>
      </c>
      <c r="B95">
        <f>SUM(D95:G95)</f>
        <v/>
      </c>
      <c r="C95">
        <f>COUNTIFS(Schedule!$A$4:$A$34,"Σάββατο",Schedule!$C$4:$C$34,$A95)+COUNTIFS(Schedule!$A$4:$A$34,"Σάββατο",Schedule!$D$4:$D$34,$A95)+COUNTIFS(Schedule!$A$4:$A$34,"Σάββατο",Schedule!$E$4:$E$34,$A95)+COUNTIFS(Schedule!$A$4:$A$34,"Σάββατο",Schedule!$F$4:$F$34,$A95)+COUNTIFS(Schedule!$A$4:$A$34,"Σάββατο",Schedule!$G$4:$G$34,$A95)+COUNTIFS(Schedule!$A$4:$A$34,"Σάββατο",Schedule!$H$4:$H$34,$A95)+COUNTIFS(Schedule!$A$4:$A$34,"Σάββατο",Schedule!$I$4:$I$34,$A95)+COUNTIFS(Schedule!$A$4:$A$34,"Σάββατο",Schedule!$J$4:$J$34,$A95)+COUNTIFS(Schedule!$A$4:$A$34,"Σάββατο",Schedule!$K$4:$K$34,$A95)+COUNTIFS(Schedule!$A$4:$A$34,"Κυριακή",Schedule!$C$4:$C$34,$A95)+COUNTIFS(Schedule!$A$4:$A$34,"Κυριακή",Schedule!$D$4:$D$34,$A95)+COUNTIFS(Schedule!$A$4:$A$34,"Κυριακή",Schedule!$E$4:$E$34,$A95)+COUNTIFS(Schedule!$A$4:$A$34,"Κυριακή",Schedule!$F$4:$F$34,$A95)+COUNTIFS(Schedule!$A$4:$A$34,"Κυριακή",Schedule!$G$4:$G$34,$A95)+COUNTIFS(Schedule!$A$4:$A$34,"Κυριακή",Schedule!$H$4:$H$34,$A95)+COUNTIFS(Schedule!$A$4:$A$34,"Κυριακή",Schedule!$I$4:$I$34,$A95)+COUNTIFS(Schedule!$A$4:$A$34,"Κυριακή",Schedule!$J$4:$J$34,$A95)+COUNTIFS(Schedule!$A$4:$A$34,"Κυριακή",Schedule!$K$4:$K$34,$A95)</f>
        <v/>
      </c>
      <c r="D95">
        <f>COUNTIF(Schedule!$C$4:$C$34,$A95)+COUNTIF(Schedule!$D$4:$D$34,$A95)+COUNTIF(Schedule!$E$4:$E$34,$A95)+COUNTIF(Schedule!$F$4:$F$34,$A95)</f>
        <v/>
      </c>
      <c r="E95">
        <f>COUNTIF(Schedule!$G$4:$G$34,$A95)+COUNTIF(Schedule!$H$4:$H$34,$A95)</f>
        <v/>
      </c>
      <c r="F95">
        <f>COUNTIF(Schedule!$I$4:$I$34,$A95)+COUNTIF(Schedule!$J$4:$J$34,$A95)</f>
        <v/>
      </c>
      <c r="G95">
        <f>COUNTIF(Schedule!$K$4:$K$34,$A95)</f>
        <v/>
      </c>
      <c r="H95">
        <f>COUNTIF(Schedule!$L$4:$L$34,$A95)</f>
        <v/>
      </c>
      <c r="I95">
        <f>COUNTIF(Schedule!$M$4:$M$34,$A95)</f>
        <v/>
      </c>
      <c r="J95">
        <f>SUM(H95:I95)</f>
        <v/>
      </c>
      <c r="K95">
        <f>IFERROR(IF(B95&lt;=VLOOKUP(TRIM($A95),Personnel!$A:$N,13,0),"OK","ΥΠΕΡΒΑΣΗ"),"!")</f>
        <v/>
      </c>
      <c r="L95">
        <f>IFERROR(IF(C95&lt;=VLOOKUP(TRIM($A95),Personnel!$A:$N,14,0),"OK","ΠΟΛΛΑ ΣΚ"),"!")</f>
        <v/>
      </c>
    </row>
    <row r="96">
      <c r="A96" t="inlineStr">
        <is>
          <t>ΤΟΥΝΤΑΣ ΝΙΚΟΛΑΟΣ</t>
        </is>
      </c>
      <c r="B96">
        <f>SUM(D96:G96)</f>
        <v/>
      </c>
      <c r="C96">
        <f>COUNTIFS(Schedule!$A$4:$A$34,"Σάββατο",Schedule!$C$4:$C$34,$A96)+COUNTIFS(Schedule!$A$4:$A$34,"Σάββατο",Schedule!$D$4:$D$34,$A96)+COUNTIFS(Schedule!$A$4:$A$34,"Σάββατο",Schedule!$E$4:$E$34,$A96)+COUNTIFS(Schedule!$A$4:$A$34,"Σάββατο",Schedule!$F$4:$F$34,$A96)+COUNTIFS(Schedule!$A$4:$A$34,"Σάββατο",Schedule!$G$4:$G$34,$A96)+COUNTIFS(Schedule!$A$4:$A$34,"Σάββατο",Schedule!$H$4:$H$34,$A96)+COUNTIFS(Schedule!$A$4:$A$34,"Σάββατο",Schedule!$I$4:$I$34,$A96)+COUNTIFS(Schedule!$A$4:$A$34,"Σάββατο",Schedule!$J$4:$J$34,$A96)+COUNTIFS(Schedule!$A$4:$A$34,"Σάββατο",Schedule!$K$4:$K$34,$A96)+COUNTIFS(Schedule!$A$4:$A$34,"Κυριακή",Schedule!$C$4:$C$34,$A96)+COUNTIFS(Schedule!$A$4:$A$34,"Κυριακή",Schedule!$D$4:$D$34,$A96)+COUNTIFS(Schedule!$A$4:$A$34,"Κυριακή",Schedule!$E$4:$E$34,$A96)+COUNTIFS(Schedule!$A$4:$A$34,"Κυριακή",Schedule!$F$4:$F$34,$A96)+COUNTIFS(Schedule!$A$4:$A$34,"Κυριακή",Schedule!$G$4:$G$34,$A96)+COUNTIFS(Schedule!$A$4:$A$34,"Κυριακή",Schedule!$H$4:$H$34,$A96)+COUNTIFS(Schedule!$A$4:$A$34,"Κυριακή",Schedule!$I$4:$I$34,$A96)+COUNTIFS(Schedule!$A$4:$A$34,"Κυριακή",Schedule!$J$4:$J$34,$A96)+COUNTIFS(Schedule!$A$4:$A$34,"Κυριακή",Schedule!$K$4:$K$34,$A96)</f>
        <v/>
      </c>
      <c r="D96">
        <f>COUNTIF(Schedule!$C$4:$C$34,$A96)+COUNTIF(Schedule!$D$4:$D$34,$A96)+COUNTIF(Schedule!$E$4:$E$34,$A96)+COUNTIF(Schedule!$F$4:$F$34,$A96)</f>
        <v/>
      </c>
      <c r="E96">
        <f>COUNTIF(Schedule!$G$4:$G$34,$A96)+COUNTIF(Schedule!$H$4:$H$34,$A96)</f>
        <v/>
      </c>
      <c r="F96">
        <f>COUNTIF(Schedule!$I$4:$I$34,$A96)+COUNTIF(Schedule!$J$4:$J$34,$A96)</f>
        <v/>
      </c>
      <c r="G96">
        <f>COUNTIF(Schedule!$K$4:$K$34,$A96)</f>
        <v/>
      </c>
      <c r="H96">
        <f>COUNTIF(Schedule!$L$4:$L$34,$A96)</f>
        <v/>
      </c>
      <c r="I96">
        <f>COUNTIF(Schedule!$M$4:$M$34,$A96)</f>
        <v/>
      </c>
      <c r="J96">
        <f>SUM(H96:I96)</f>
        <v/>
      </c>
      <c r="K96">
        <f>IFERROR(IF(B96&lt;=VLOOKUP(TRIM($A96),Personnel!$A:$N,13,0),"OK","ΥΠΕΡΒΑΣΗ"),"!")</f>
        <v/>
      </c>
      <c r="L96">
        <f>IFERROR(IF(C96&lt;=VLOOKUP(TRIM($A96),Personnel!$A:$N,14,0),"OK","ΠΟΛΛΑ ΣΚ"),"!")</f>
        <v/>
      </c>
    </row>
    <row r="97">
      <c r="A97" t="inlineStr">
        <is>
          <t>ΠΑΠΑΔΟΠΟΥΛΟΣ ΚΩΝΣΤΑΝΤΙΝΟΣ</t>
        </is>
      </c>
      <c r="B97">
        <f>SUM(D97:G97)</f>
        <v/>
      </c>
      <c r="C97">
        <f>COUNTIFS(Schedule!$A$4:$A$34,"Σάββατο",Schedule!$C$4:$C$34,$A97)+COUNTIFS(Schedule!$A$4:$A$34,"Σάββατο",Schedule!$D$4:$D$34,$A97)+COUNTIFS(Schedule!$A$4:$A$34,"Σάββατο",Schedule!$E$4:$E$34,$A97)+COUNTIFS(Schedule!$A$4:$A$34,"Σάββατο",Schedule!$F$4:$F$34,$A97)+COUNTIFS(Schedule!$A$4:$A$34,"Σάββατο",Schedule!$G$4:$G$34,$A97)+COUNTIFS(Schedule!$A$4:$A$34,"Σάββατο",Schedule!$H$4:$H$34,$A97)+COUNTIFS(Schedule!$A$4:$A$34,"Σάββατο",Schedule!$I$4:$I$34,$A97)+COUNTIFS(Schedule!$A$4:$A$34,"Σάββατο",Schedule!$J$4:$J$34,$A97)+COUNTIFS(Schedule!$A$4:$A$34,"Σάββατο",Schedule!$K$4:$K$34,$A97)+COUNTIFS(Schedule!$A$4:$A$34,"Κυριακή",Schedule!$C$4:$C$34,$A97)+COUNTIFS(Schedule!$A$4:$A$34,"Κυριακή",Schedule!$D$4:$D$34,$A97)+COUNTIFS(Schedule!$A$4:$A$34,"Κυριακή",Schedule!$E$4:$E$34,$A97)+COUNTIFS(Schedule!$A$4:$A$34,"Κυριακή",Schedule!$F$4:$F$34,$A97)+COUNTIFS(Schedule!$A$4:$A$34,"Κυριακή",Schedule!$G$4:$G$34,$A97)+COUNTIFS(Schedule!$A$4:$A$34,"Κυριακή",Schedule!$H$4:$H$34,$A97)+COUNTIFS(Schedule!$A$4:$A$34,"Κυριακή",Schedule!$I$4:$I$34,$A97)+COUNTIFS(Schedule!$A$4:$A$34,"Κυριακή",Schedule!$J$4:$J$34,$A97)+COUNTIFS(Schedule!$A$4:$A$34,"Κυριακή",Schedule!$K$4:$K$34,$A97)</f>
        <v/>
      </c>
      <c r="D97">
        <f>COUNTIF(Schedule!$C$4:$C$34,$A97)+COUNTIF(Schedule!$D$4:$D$34,$A97)+COUNTIF(Schedule!$E$4:$E$34,$A97)+COUNTIF(Schedule!$F$4:$F$34,$A97)</f>
        <v/>
      </c>
      <c r="E97">
        <f>COUNTIF(Schedule!$G$4:$G$34,$A97)+COUNTIF(Schedule!$H$4:$H$34,$A97)</f>
        <v/>
      </c>
      <c r="F97">
        <f>COUNTIF(Schedule!$I$4:$I$34,$A97)+COUNTIF(Schedule!$J$4:$J$34,$A97)</f>
        <v/>
      </c>
      <c r="G97">
        <f>COUNTIF(Schedule!$K$4:$K$34,$A97)</f>
        <v/>
      </c>
      <c r="H97">
        <f>COUNTIF(Schedule!$L$4:$L$34,$A97)</f>
        <v/>
      </c>
      <c r="I97">
        <f>COUNTIF(Schedule!$M$4:$M$34,$A97)</f>
        <v/>
      </c>
      <c r="J97">
        <f>SUM(H97:I97)</f>
        <v/>
      </c>
      <c r="K97">
        <f>IFERROR(IF(B97&lt;=VLOOKUP(TRIM($A97),Personnel!$A:$N,13,0),"OK","ΥΠΕΡΒΑΣΗ"),"!")</f>
        <v/>
      </c>
      <c r="L97">
        <f>IFERROR(IF(C97&lt;=VLOOKUP(TRIM($A97),Personnel!$A:$N,14,0),"OK","ΠΟΛΛΑ ΣΚ"),"!")</f>
        <v/>
      </c>
    </row>
    <row r="98">
      <c r="A98" t="inlineStr">
        <is>
          <t>ΚΑΤΣΑΡΑΣ ΒΑΣΙΛΕΙΟΣ</t>
        </is>
      </c>
      <c r="B98">
        <f>SUM(D98:G98)</f>
        <v/>
      </c>
      <c r="C98">
        <f>COUNTIFS(Schedule!$A$4:$A$34,"Σάββατο",Schedule!$C$4:$C$34,$A98)+COUNTIFS(Schedule!$A$4:$A$34,"Σάββατο",Schedule!$D$4:$D$34,$A98)+COUNTIFS(Schedule!$A$4:$A$34,"Σάββατο",Schedule!$E$4:$E$34,$A98)+COUNTIFS(Schedule!$A$4:$A$34,"Σάββατο",Schedule!$F$4:$F$34,$A98)+COUNTIFS(Schedule!$A$4:$A$34,"Σάββατο",Schedule!$G$4:$G$34,$A98)+COUNTIFS(Schedule!$A$4:$A$34,"Σάββατο",Schedule!$H$4:$H$34,$A98)+COUNTIFS(Schedule!$A$4:$A$34,"Σάββατο",Schedule!$I$4:$I$34,$A98)+COUNTIFS(Schedule!$A$4:$A$34,"Σάββατο",Schedule!$J$4:$J$34,$A98)+COUNTIFS(Schedule!$A$4:$A$34,"Σάββατο",Schedule!$K$4:$K$34,$A98)+COUNTIFS(Schedule!$A$4:$A$34,"Κυριακή",Schedule!$C$4:$C$34,$A98)+COUNTIFS(Schedule!$A$4:$A$34,"Κυριακή",Schedule!$D$4:$D$34,$A98)+COUNTIFS(Schedule!$A$4:$A$34,"Κυριακή",Schedule!$E$4:$E$34,$A98)+COUNTIFS(Schedule!$A$4:$A$34,"Κυριακή",Schedule!$F$4:$F$34,$A98)+COUNTIFS(Schedule!$A$4:$A$34,"Κυριακή",Schedule!$G$4:$G$34,$A98)+COUNTIFS(Schedule!$A$4:$A$34,"Κυριακή",Schedule!$H$4:$H$34,$A98)+COUNTIFS(Schedule!$A$4:$A$34,"Κυριακή",Schedule!$I$4:$I$34,$A98)+COUNTIFS(Schedule!$A$4:$A$34,"Κυριακή",Schedule!$J$4:$J$34,$A98)+COUNTIFS(Schedule!$A$4:$A$34,"Κυριακή",Schedule!$K$4:$K$34,$A98)</f>
        <v/>
      </c>
      <c r="D98">
        <f>COUNTIF(Schedule!$C$4:$C$34,$A98)+COUNTIF(Schedule!$D$4:$D$34,$A98)+COUNTIF(Schedule!$E$4:$E$34,$A98)+COUNTIF(Schedule!$F$4:$F$34,$A98)</f>
        <v/>
      </c>
      <c r="E98">
        <f>COUNTIF(Schedule!$G$4:$G$34,$A98)+COUNTIF(Schedule!$H$4:$H$34,$A98)</f>
        <v/>
      </c>
      <c r="F98">
        <f>COUNTIF(Schedule!$I$4:$I$34,$A98)+COUNTIF(Schedule!$J$4:$J$34,$A98)</f>
        <v/>
      </c>
      <c r="G98">
        <f>COUNTIF(Schedule!$K$4:$K$34,$A98)</f>
        <v/>
      </c>
      <c r="H98">
        <f>COUNTIF(Schedule!$L$4:$L$34,$A98)</f>
        <v/>
      </c>
      <c r="I98">
        <f>COUNTIF(Schedule!$M$4:$M$34,$A98)</f>
        <v/>
      </c>
      <c r="J98">
        <f>SUM(H98:I98)</f>
        <v/>
      </c>
      <c r="K98">
        <f>IFERROR(IF(B98&lt;=VLOOKUP(TRIM($A98),Personnel!$A:$N,13,0),"OK","ΥΠΕΡΒΑΣΗ"),"!")</f>
        <v/>
      </c>
      <c r="L98">
        <f>IFERROR(IF(C98&lt;=VLOOKUP(TRIM($A98),Personnel!$A:$N,14,0),"OK","ΠΟΛΛΑ ΣΚ"),"!")</f>
        <v/>
      </c>
    </row>
    <row r="99">
      <c r="A99" t="inlineStr">
        <is>
          <t>ΜΠΕΛΗΣ ΑΧΙΛΛΕΑΣ</t>
        </is>
      </c>
      <c r="B99">
        <f>SUM(D99:G99)</f>
        <v/>
      </c>
      <c r="C99">
        <f>COUNTIFS(Schedule!$A$4:$A$34,"Σάββατο",Schedule!$C$4:$C$34,$A99)+COUNTIFS(Schedule!$A$4:$A$34,"Σάββατο",Schedule!$D$4:$D$34,$A99)+COUNTIFS(Schedule!$A$4:$A$34,"Σάββατο",Schedule!$E$4:$E$34,$A99)+COUNTIFS(Schedule!$A$4:$A$34,"Σάββατο",Schedule!$F$4:$F$34,$A99)+COUNTIFS(Schedule!$A$4:$A$34,"Σάββατο",Schedule!$G$4:$G$34,$A99)+COUNTIFS(Schedule!$A$4:$A$34,"Σάββατο",Schedule!$H$4:$H$34,$A99)+COUNTIFS(Schedule!$A$4:$A$34,"Σάββατο",Schedule!$I$4:$I$34,$A99)+COUNTIFS(Schedule!$A$4:$A$34,"Σάββατο",Schedule!$J$4:$J$34,$A99)+COUNTIFS(Schedule!$A$4:$A$34,"Σάββατο",Schedule!$K$4:$K$34,$A99)+COUNTIFS(Schedule!$A$4:$A$34,"Κυριακή",Schedule!$C$4:$C$34,$A99)+COUNTIFS(Schedule!$A$4:$A$34,"Κυριακή",Schedule!$D$4:$D$34,$A99)+COUNTIFS(Schedule!$A$4:$A$34,"Κυριακή",Schedule!$E$4:$E$34,$A99)+COUNTIFS(Schedule!$A$4:$A$34,"Κυριακή",Schedule!$F$4:$F$34,$A99)+COUNTIFS(Schedule!$A$4:$A$34,"Κυριακή",Schedule!$G$4:$G$34,$A99)+COUNTIFS(Schedule!$A$4:$A$34,"Κυριακή",Schedule!$H$4:$H$34,$A99)+COUNTIFS(Schedule!$A$4:$A$34,"Κυριακή",Schedule!$I$4:$I$34,$A99)+COUNTIFS(Schedule!$A$4:$A$34,"Κυριακή",Schedule!$J$4:$J$34,$A99)+COUNTIFS(Schedule!$A$4:$A$34,"Κυριακή",Schedule!$K$4:$K$34,$A99)</f>
        <v/>
      </c>
      <c r="D99">
        <f>COUNTIF(Schedule!$C$4:$C$34,$A99)+COUNTIF(Schedule!$D$4:$D$34,$A99)+COUNTIF(Schedule!$E$4:$E$34,$A99)+COUNTIF(Schedule!$F$4:$F$34,$A99)</f>
        <v/>
      </c>
      <c r="E99">
        <f>COUNTIF(Schedule!$G$4:$G$34,$A99)+COUNTIF(Schedule!$H$4:$H$34,$A99)</f>
        <v/>
      </c>
      <c r="F99">
        <f>COUNTIF(Schedule!$I$4:$I$34,$A99)+COUNTIF(Schedule!$J$4:$J$34,$A99)</f>
        <v/>
      </c>
      <c r="G99">
        <f>COUNTIF(Schedule!$K$4:$K$34,$A99)</f>
        <v/>
      </c>
      <c r="H99">
        <f>COUNTIF(Schedule!$L$4:$L$34,$A99)</f>
        <v/>
      </c>
      <c r="I99">
        <f>COUNTIF(Schedule!$M$4:$M$34,$A99)</f>
        <v/>
      </c>
      <c r="J99">
        <f>SUM(H99:I99)</f>
        <v/>
      </c>
      <c r="K99">
        <f>IFERROR(IF(B99&lt;=VLOOKUP(TRIM($A99),Personnel!$A:$N,13,0),"OK","ΥΠΕΡΒΑΣΗ"),"!")</f>
        <v/>
      </c>
      <c r="L99">
        <f>IFERROR(IF(C99&lt;=VLOOKUP(TRIM($A99),Personnel!$A:$N,14,0),"OK","ΠΟΛΛΑ ΣΚ"),"!")</f>
        <v/>
      </c>
    </row>
    <row r="100">
      <c r="A100" t="inlineStr">
        <is>
          <t>ΜΑΛΤΑΣ ΓΕΩΡΓΙΟΣ</t>
        </is>
      </c>
      <c r="B100">
        <f>SUM(D100:G100)</f>
        <v/>
      </c>
      <c r="C100">
        <f>COUNTIFS(Schedule!$A$4:$A$34,"Σάββατο",Schedule!$C$4:$C$34,$A100)+COUNTIFS(Schedule!$A$4:$A$34,"Σάββατο",Schedule!$D$4:$D$34,$A100)+COUNTIFS(Schedule!$A$4:$A$34,"Σάββατο",Schedule!$E$4:$E$34,$A100)+COUNTIFS(Schedule!$A$4:$A$34,"Σάββατο",Schedule!$F$4:$F$34,$A100)+COUNTIFS(Schedule!$A$4:$A$34,"Σάββατο",Schedule!$G$4:$G$34,$A100)+COUNTIFS(Schedule!$A$4:$A$34,"Σάββατο",Schedule!$H$4:$H$34,$A100)+COUNTIFS(Schedule!$A$4:$A$34,"Σάββατο",Schedule!$I$4:$I$34,$A100)+COUNTIFS(Schedule!$A$4:$A$34,"Σάββατο",Schedule!$J$4:$J$34,$A100)+COUNTIFS(Schedule!$A$4:$A$34,"Σάββατο",Schedule!$K$4:$K$34,$A100)+COUNTIFS(Schedule!$A$4:$A$34,"Κυριακή",Schedule!$C$4:$C$34,$A100)+COUNTIFS(Schedule!$A$4:$A$34,"Κυριακή",Schedule!$D$4:$D$34,$A100)+COUNTIFS(Schedule!$A$4:$A$34,"Κυριακή",Schedule!$E$4:$E$34,$A100)+COUNTIFS(Schedule!$A$4:$A$34,"Κυριακή",Schedule!$F$4:$F$34,$A100)+COUNTIFS(Schedule!$A$4:$A$34,"Κυριακή",Schedule!$G$4:$G$34,$A100)+COUNTIFS(Schedule!$A$4:$A$34,"Κυριακή",Schedule!$H$4:$H$34,$A100)+COUNTIFS(Schedule!$A$4:$A$34,"Κυριακή",Schedule!$I$4:$I$34,$A100)+COUNTIFS(Schedule!$A$4:$A$34,"Κυριακή",Schedule!$J$4:$J$34,$A100)+COUNTIFS(Schedule!$A$4:$A$34,"Κυριακή",Schedule!$K$4:$K$34,$A100)</f>
        <v/>
      </c>
      <c r="D100">
        <f>COUNTIF(Schedule!$C$4:$C$34,$A100)+COUNTIF(Schedule!$D$4:$D$34,$A100)+COUNTIF(Schedule!$E$4:$E$34,$A100)+COUNTIF(Schedule!$F$4:$F$34,$A100)</f>
        <v/>
      </c>
      <c r="E100">
        <f>COUNTIF(Schedule!$G$4:$G$34,$A100)+COUNTIF(Schedule!$H$4:$H$34,$A100)</f>
        <v/>
      </c>
      <c r="F100">
        <f>COUNTIF(Schedule!$I$4:$I$34,$A100)+COUNTIF(Schedule!$J$4:$J$34,$A100)</f>
        <v/>
      </c>
      <c r="G100">
        <f>COUNTIF(Schedule!$K$4:$K$34,$A100)</f>
        <v/>
      </c>
      <c r="H100">
        <f>COUNTIF(Schedule!$L$4:$L$34,$A100)</f>
        <v/>
      </c>
      <c r="I100">
        <f>COUNTIF(Schedule!$M$4:$M$34,$A100)</f>
        <v/>
      </c>
      <c r="J100">
        <f>SUM(H100:I100)</f>
        <v/>
      </c>
      <c r="K100">
        <f>IFERROR(IF(B100&lt;=VLOOKUP(TRIM($A100),Personnel!$A:$N,13,0),"OK","ΥΠΕΡΒΑΣΗ"),"!")</f>
        <v/>
      </c>
      <c r="L100">
        <f>IFERROR(IF(C100&lt;=VLOOKUP(TRIM($A100),Personnel!$A:$N,14,0),"OK","ΠΟΛΛΑ ΣΚ"),"!")</f>
        <v/>
      </c>
    </row>
    <row r="101">
      <c r="A101" t="inlineStr">
        <is>
          <t>ΣΑΡΑΚΙΝΤΣΗΣ ΣΤΥΛΙΑΝΟΣ</t>
        </is>
      </c>
      <c r="B101">
        <f>SUM(D101:G101)</f>
        <v/>
      </c>
      <c r="C101">
        <f>COUNTIFS(Schedule!$A$4:$A$34,"Σάββατο",Schedule!$C$4:$C$34,$A101)+COUNTIFS(Schedule!$A$4:$A$34,"Σάββατο",Schedule!$D$4:$D$34,$A101)+COUNTIFS(Schedule!$A$4:$A$34,"Σάββατο",Schedule!$E$4:$E$34,$A101)+COUNTIFS(Schedule!$A$4:$A$34,"Σάββατο",Schedule!$F$4:$F$34,$A101)+COUNTIFS(Schedule!$A$4:$A$34,"Σάββατο",Schedule!$G$4:$G$34,$A101)+COUNTIFS(Schedule!$A$4:$A$34,"Σάββατο",Schedule!$H$4:$H$34,$A101)+COUNTIFS(Schedule!$A$4:$A$34,"Σάββατο",Schedule!$I$4:$I$34,$A101)+COUNTIFS(Schedule!$A$4:$A$34,"Σάββατο",Schedule!$J$4:$J$34,$A101)+COUNTIFS(Schedule!$A$4:$A$34,"Σάββατο",Schedule!$K$4:$K$34,$A101)+COUNTIFS(Schedule!$A$4:$A$34,"Κυριακή",Schedule!$C$4:$C$34,$A101)+COUNTIFS(Schedule!$A$4:$A$34,"Κυριακή",Schedule!$D$4:$D$34,$A101)+COUNTIFS(Schedule!$A$4:$A$34,"Κυριακή",Schedule!$E$4:$E$34,$A101)+COUNTIFS(Schedule!$A$4:$A$34,"Κυριακή",Schedule!$F$4:$F$34,$A101)+COUNTIFS(Schedule!$A$4:$A$34,"Κυριακή",Schedule!$G$4:$G$34,$A101)+COUNTIFS(Schedule!$A$4:$A$34,"Κυριακή",Schedule!$H$4:$H$34,$A101)+COUNTIFS(Schedule!$A$4:$A$34,"Κυριακή",Schedule!$I$4:$I$34,$A101)+COUNTIFS(Schedule!$A$4:$A$34,"Κυριακή",Schedule!$J$4:$J$34,$A101)+COUNTIFS(Schedule!$A$4:$A$34,"Κυριακή",Schedule!$K$4:$K$34,$A101)</f>
        <v/>
      </c>
      <c r="D101">
        <f>COUNTIF(Schedule!$C$4:$C$34,$A101)+COUNTIF(Schedule!$D$4:$D$34,$A101)+COUNTIF(Schedule!$E$4:$E$34,$A101)+COUNTIF(Schedule!$F$4:$F$34,$A101)</f>
        <v/>
      </c>
      <c r="E101">
        <f>COUNTIF(Schedule!$G$4:$G$34,$A101)+COUNTIF(Schedule!$H$4:$H$34,$A101)</f>
        <v/>
      </c>
      <c r="F101">
        <f>COUNTIF(Schedule!$I$4:$I$34,$A101)+COUNTIF(Schedule!$J$4:$J$34,$A101)</f>
        <v/>
      </c>
      <c r="G101">
        <f>COUNTIF(Schedule!$K$4:$K$34,$A101)</f>
        <v/>
      </c>
      <c r="H101">
        <f>COUNTIF(Schedule!$L$4:$L$34,$A101)</f>
        <v/>
      </c>
      <c r="I101">
        <f>COUNTIF(Schedule!$M$4:$M$34,$A101)</f>
        <v/>
      </c>
      <c r="J101">
        <f>SUM(H101:I101)</f>
        <v/>
      </c>
      <c r="K101">
        <f>IFERROR(IF(B101&lt;=VLOOKUP(TRIM($A101),Personnel!$A:$N,13,0),"OK","ΥΠΕΡΒΑΣΗ"),"!")</f>
        <v/>
      </c>
      <c r="L101">
        <f>IFERROR(IF(C101&lt;=VLOOKUP(TRIM($A101),Personnel!$A:$N,14,0),"OK","ΠΟΛΛΑ ΣΚ"),"!")</f>
        <v/>
      </c>
    </row>
    <row r="102">
      <c r="A102" t="inlineStr">
        <is>
          <t>ΣΑΡΑΚΙΝΤΣΗΣ ΜΑΡΙΟΣ</t>
        </is>
      </c>
      <c r="B102">
        <f>SUM(D102:G102)</f>
        <v/>
      </c>
      <c r="C102">
        <f>COUNTIFS(Schedule!$A$4:$A$34,"Σάββατο",Schedule!$C$4:$C$34,$A102)+COUNTIFS(Schedule!$A$4:$A$34,"Σάββατο",Schedule!$D$4:$D$34,$A102)+COUNTIFS(Schedule!$A$4:$A$34,"Σάββατο",Schedule!$E$4:$E$34,$A102)+COUNTIFS(Schedule!$A$4:$A$34,"Σάββατο",Schedule!$F$4:$F$34,$A102)+COUNTIFS(Schedule!$A$4:$A$34,"Σάββατο",Schedule!$G$4:$G$34,$A102)+COUNTIFS(Schedule!$A$4:$A$34,"Σάββατο",Schedule!$H$4:$H$34,$A102)+COUNTIFS(Schedule!$A$4:$A$34,"Σάββατο",Schedule!$I$4:$I$34,$A102)+COUNTIFS(Schedule!$A$4:$A$34,"Σάββατο",Schedule!$J$4:$J$34,$A102)+COUNTIFS(Schedule!$A$4:$A$34,"Σάββατο",Schedule!$K$4:$K$34,$A102)+COUNTIFS(Schedule!$A$4:$A$34,"Κυριακή",Schedule!$C$4:$C$34,$A102)+COUNTIFS(Schedule!$A$4:$A$34,"Κυριακή",Schedule!$D$4:$D$34,$A102)+COUNTIFS(Schedule!$A$4:$A$34,"Κυριακή",Schedule!$E$4:$E$34,$A102)+COUNTIFS(Schedule!$A$4:$A$34,"Κυριακή",Schedule!$F$4:$F$34,$A102)+COUNTIFS(Schedule!$A$4:$A$34,"Κυριακή",Schedule!$G$4:$G$34,$A102)+COUNTIFS(Schedule!$A$4:$A$34,"Κυριακή",Schedule!$H$4:$H$34,$A102)+COUNTIFS(Schedule!$A$4:$A$34,"Κυριακή",Schedule!$I$4:$I$34,$A102)+COUNTIFS(Schedule!$A$4:$A$34,"Κυριακή",Schedule!$J$4:$J$34,$A102)+COUNTIFS(Schedule!$A$4:$A$34,"Κυριακή",Schedule!$K$4:$K$34,$A102)</f>
        <v/>
      </c>
      <c r="D102">
        <f>COUNTIF(Schedule!$C$4:$C$34,$A102)+COUNTIF(Schedule!$D$4:$D$34,$A102)+COUNTIF(Schedule!$E$4:$E$34,$A102)+COUNTIF(Schedule!$F$4:$F$34,$A102)</f>
        <v/>
      </c>
      <c r="E102">
        <f>COUNTIF(Schedule!$G$4:$G$34,$A102)+COUNTIF(Schedule!$H$4:$H$34,$A102)</f>
        <v/>
      </c>
      <c r="F102">
        <f>COUNTIF(Schedule!$I$4:$I$34,$A102)+COUNTIF(Schedule!$J$4:$J$34,$A102)</f>
        <v/>
      </c>
      <c r="G102">
        <f>COUNTIF(Schedule!$K$4:$K$34,$A102)</f>
        <v/>
      </c>
      <c r="H102">
        <f>COUNTIF(Schedule!$L$4:$L$34,$A102)</f>
        <v/>
      </c>
      <c r="I102">
        <f>COUNTIF(Schedule!$M$4:$M$34,$A102)</f>
        <v/>
      </c>
      <c r="J102">
        <f>SUM(H102:I102)</f>
        <v/>
      </c>
      <c r="K102">
        <f>IFERROR(IF(B102&lt;=VLOOKUP(TRIM($A102),Personnel!$A:$N,13,0),"OK","ΥΠΕΡΒΑΣΗ"),"!")</f>
        <v/>
      </c>
      <c r="L102">
        <f>IFERROR(IF(C102&lt;=VLOOKUP(TRIM($A102),Personnel!$A:$N,14,0),"OK","ΠΟΛΛΑ ΣΚ"),"!")</f>
        <v/>
      </c>
    </row>
    <row r="103">
      <c r="A103" t="inlineStr">
        <is>
          <t>ΠΑΥΛΑΚΗΣ ΙΩΑΝΝΗΣ ΠΑΝΑΓΙΩΤΗΣ</t>
        </is>
      </c>
      <c r="B103">
        <f>SUM(D103:G103)</f>
        <v/>
      </c>
      <c r="C103">
        <f>COUNTIFS(Schedule!$A$4:$A$34,"Σάββατο",Schedule!$C$4:$C$34,$A103)+COUNTIFS(Schedule!$A$4:$A$34,"Σάββατο",Schedule!$D$4:$D$34,$A103)+COUNTIFS(Schedule!$A$4:$A$34,"Σάββατο",Schedule!$E$4:$E$34,$A103)+COUNTIFS(Schedule!$A$4:$A$34,"Σάββατο",Schedule!$F$4:$F$34,$A103)+COUNTIFS(Schedule!$A$4:$A$34,"Σάββατο",Schedule!$G$4:$G$34,$A103)+COUNTIFS(Schedule!$A$4:$A$34,"Σάββατο",Schedule!$H$4:$H$34,$A103)+COUNTIFS(Schedule!$A$4:$A$34,"Σάββατο",Schedule!$I$4:$I$34,$A103)+COUNTIFS(Schedule!$A$4:$A$34,"Σάββατο",Schedule!$J$4:$J$34,$A103)+COUNTIFS(Schedule!$A$4:$A$34,"Σάββατο",Schedule!$K$4:$K$34,$A103)+COUNTIFS(Schedule!$A$4:$A$34,"Κυριακή",Schedule!$C$4:$C$34,$A103)+COUNTIFS(Schedule!$A$4:$A$34,"Κυριακή",Schedule!$D$4:$D$34,$A103)+COUNTIFS(Schedule!$A$4:$A$34,"Κυριακή",Schedule!$E$4:$E$34,$A103)+COUNTIFS(Schedule!$A$4:$A$34,"Κυριακή",Schedule!$F$4:$F$34,$A103)+COUNTIFS(Schedule!$A$4:$A$34,"Κυριακή",Schedule!$G$4:$G$34,$A103)+COUNTIFS(Schedule!$A$4:$A$34,"Κυριακή",Schedule!$H$4:$H$34,$A103)+COUNTIFS(Schedule!$A$4:$A$34,"Κυριακή",Schedule!$I$4:$I$34,$A103)+COUNTIFS(Schedule!$A$4:$A$34,"Κυριακή",Schedule!$J$4:$J$34,$A103)+COUNTIFS(Schedule!$A$4:$A$34,"Κυριακή",Schedule!$K$4:$K$34,$A103)</f>
        <v/>
      </c>
      <c r="D103">
        <f>COUNTIF(Schedule!$C$4:$C$34,$A103)+COUNTIF(Schedule!$D$4:$D$34,$A103)+COUNTIF(Schedule!$E$4:$E$34,$A103)+COUNTIF(Schedule!$F$4:$F$34,$A103)</f>
        <v/>
      </c>
      <c r="E103">
        <f>COUNTIF(Schedule!$G$4:$G$34,$A103)+COUNTIF(Schedule!$H$4:$H$34,$A103)</f>
        <v/>
      </c>
      <c r="F103">
        <f>COUNTIF(Schedule!$I$4:$I$34,$A103)+COUNTIF(Schedule!$J$4:$J$34,$A103)</f>
        <v/>
      </c>
      <c r="G103">
        <f>COUNTIF(Schedule!$K$4:$K$34,$A103)</f>
        <v/>
      </c>
      <c r="H103">
        <f>COUNTIF(Schedule!$L$4:$L$34,$A103)</f>
        <v/>
      </c>
      <c r="I103">
        <f>COUNTIF(Schedule!$M$4:$M$34,$A103)</f>
        <v/>
      </c>
      <c r="J103">
        <f>SUM(H103:I103)</f>
        <v/>
      </c>
      <c r="K103">
        <f>IFERROR(IF(B103&lt;=VLOOKUP(TRIM($A103),Personnel!$A:$N,13,0),"OK","ΥΠΕΡΒΑΣΗ"),"!")</f>
        <v/>
      </c>
      <c r="L103">
        <f>IFERROR(IF(C103&lt;=VLOOKUP(TRIM($A103),Personnel!$A:$N,14,0),"OK","ΠΟΛΛΑ ΣΚ"),"!")</f>
        <v/>
      </c>
    </row>
    <row r="104">
      <c r="A104" t="inlineStr">
        <is>
          <t>ΕΛΜΑΛΙΚΛΗΣ ΔΗΜΗΤΡΙΟΣ</t>
        </is>
      </c>
      <c r="B104">
        <f>SUM(D104:G104)</f>
        <v/>
      </c>
      <c r="C104">
        <f>COUNTIFS(Schedule!$A$4:$A$34,"Σάββατο",Schedule!$C$4:$C$34,$A104)+COUNTIFS(Schedule!$A$4:$A$34,"Σάββατο",Schedule!$D$4:$D$34,$A104)+COUNTIFS(Schedule!$A$4:$A$34,"Σάββατο",Schedule!$E$4:$E$34,$A104)+COUNTIFS(Schedule!$A$4:$A$34,"Σάββατο",Schedule!$F$4:$F$34,$A104)+COUNTIFS(Schedule!$A$4:$A$34,"Σάββατο",Schedule!$G$4:$G$34,$A104)+COUNTIFS(Schedule!$A$4:$A$34,"Σάββατο",Schedule!$H$4:$H$34,$A104)+COUNTIFS(Schedule!$A$4:$A$34,"Σάββατο",Schedule!$I$4:$I$34,$A104)+COUNTIFS(Schedule!$A$4:$A$34,"Σάββατο",Schedule!$J$4:$J$34,$A104)+COUNTIFS(Schedule!$A$4:$A$34,"Σάββατο",Schedule!$K$4:$K$34,$A104)+COUNTIFS(Schedule!$A$4:$A$34,"Κυριακή",Schedule!$C$4:$C$34,$A104)+COUNTIFS(Schedule!$A$4:$A$34,"Κυριακή",Schedule!$D$4:$D$34,$A104)+COUNTIFS(Schedule!$A$4:$A$34,"Κυριακή",Schedule!$E$4:$E$34,$A104)+COUNTIFS(Schedule!$A$4:$A$34,"Κυριακή",Schedule!$F$4:$F$34,$A104)+COUNTIFS(Schedule!$A$4:$A$34,"Κυριακή",Schedule!$G$4:$G$34,$A104)+COUNTIFS(Schedule!$A$4:$A$34,"Κυριακή",Schedule!$H$4:$H$34,$A104)+COUNTIFS(Schedule!$A$4:$A$34,"Κυριακή",Schedule!$I$4:$I$34,$A104)+COUNTIFS(Schedule!$A$4:$A$34,"Κυριακή",Schedule!$J$4:$J$34,$A104)+COUNTIFS(Schedule!$A$4:$A$34,"Κυριακή",Schedule!$K$4:$K$34,$A104)</f>
        <v/>
      </c>
      <c r="D104">
        <f>COUNTIF(Schedule!$C$4:$C$34,$A104)+COUNTIF(Schedule!$D$4:$D$34,$A104)+COUNTIF(Schedule!$E$4:$E$34,$A104)+COUNTIF(Schedule!$F$4:$F$34,$A104)</f>
        <v/>
      </c>
      <c r="E104">
        <f>COUNTIF(Schedule!$G$4:$G$34,$A104)+COUNTIF(Schedule!$H$4:$H$34,$A104)</f>
        <v/>
      </c>
      <c r="F104">
        <f>COUNTIF(Schedule!$I$4:$I$34,$A104)+COUNTIF(Schedule!$J$4:$J$34,$A104)</f>
        <v/>
      </c>
      <c r="G104">
        <f>COUNTIF(Schedule!$K$4:$K$34,$A104)</f>
        <v/>
      </c>
      <c r="H104">
        <f>COUNTIF(Schedule!$L$4:$L$34,$A104)</f>
        <v/>
      </c>
      <c r="I104">
        <f>COUNTIF(Schedule!$M$4:$M$34,$A104)</f>
        <v/>
      </c>
      <c r="J104">
        <f>SUM(H104:I104)</f>
        <v/>
      </c>
      <c r="K104">
        <f>IFERROR(IF(B104&lt;=VLOOKUP(TRIM($A104),Personnel!$A:$N,13,0),"OK","ΥΠΕΡΒΑΣΗ"),"!")</f>
        <v/>
      </c>
      <c r="L104">
        <f>IFERROR(IF(C104&lt;=VLOOKUP(TRIM($A104),Personnel!$A:$N,14,0),"OK","ΠΟΛΛΑ ΣΚ"),"!")</f>
        <v/>
      </c>
    </row>
    <row r="105">
      <c r="A105" t="inlineStr">
        <is>
          <t>ΡΑΒΑΝΗΣ ΙΩΑΝΝΗΣ</t>
        </is>
      </c>
      <c r="B105">
        <f>SUM(D105:G105)</f>
        <v/>
      </c>
      <c r="C105">
        <f>COUNTIFS(Schedule!$A$4:$A$34,"Σάββατο",Schedule!$C$4:$C$34,$A105)+COUNTIFS(Schedule!$A$4:$A$34,"Σάββατο",Schedule!$D$4:$D$34,$A105)+COUNTIFS(Schedule!$A$4:$A$34,"Σάββατο",Schedule!$E$4:$E$34,$A105)+COUNTIFS(Schedule!$A$4:$A$34,"Σάββατο",Schedule!$F$4:$F$34,$A105)+COUNTIFS(Schedule!$A$4:$A$34,"Σάββατο",Schedule!$G$4:$G$34,$A105)+COUNTIFS(Schedule!$A$4:$A$34,"Σάββατο",Schedule!$H$4:$H$34,$A105)+COUNTIFS(Schedule!$A$4:$A$34,"Σάββατο",Schedule!$I$4:$I$34,$A105)+COUNTIFS(Schedule!$A$4:$A$34,"Σάββατο",Schedule!$J$4:$J$34,$A105)+COUNTIFS(Schedule!$A$4:$A$34,"Σάββατο",Schedule!$K$4:$K$34,$A105)+COUNTIFS(Schedule!$A$4:$A$34,"Κυριακή",Schedule!$C$4:$C$34,$A105)+COUNTIFS(Schedule!$A$4:$A$34,"Κυριακή",Schedule!$D$4:$D$34,$A105)+COUNTIFS(Schedule!$A$4:$A$34,"Κυριακή",Schedule!$E$4:$E$34,$A105)+COUNTIFS(Schedule!$A$4:$A$34,"Κυριακή",Schedule!$F$4:$F$34,$A105)+COUNTIFS(Schedule!$A$4:$A$34,"Κυριακή",Schedule!$G$4:$G$34,$A105)+COUNTIFS(Schedule!$A$4:$A$34,"Κυριακή",Schedule!$H$4:$H$34,$A105)+COUNTIFS(Schedule!$A$4:$A$34,"Κυριακή",Schedule!$I$4:$I$34,$A105)+COUNTIFS(Schedule!$A$4:$A$34,"Κυριακή",Schedule!$J$4:$J$34,$A105)+COUNTIFS(Schedule!$A$4:$A$34,"Κυριακή",Schedule!$K$4:$K$34,$A105)</f>
        <v/>
      </c>
      <c r="D105">
        <f>COUNTIF(Schedule!$C$4:$C$34,$A105)+COUNTIF(Schedule!$D$4:$D$34,$A105)+COUNTIF(Schedule!$E$4:$E$34,$A105)+COUNTIF(Schedule!$F$4:$F$34,$A105)</f>
        <v/>
      </c>
      <c r="E105">
        <f>COUNTIF(Schedule!$G$4:$G$34,$A105)+COUNTIF(Schedule!$H$4:$H$34,$A105)</f>
        <v/>
      </c>
      <c r="F105">
        <f>COUNTIF(Schedule!$I$4:$I$34,$A105)+COUNTIF(Schedule!$J$4:$J$34,$A105)</f>
        <v/>
      </c>
      <c r="G105">
        <f>COUNTIF(Schedule!$K$4:$K$34,$A105)</f>
        <v/>
      </c>
      <c r="H105">
        <f>COUNTIF(Schedule!$L$4:$L$34,$A105)</f>
        <v/>
      </c>
      <c r="I105">
        <f>COUNTIF(Schedule!$M$4:$M$34,$A105)</f>
        <v/>
      </c>
      <c r="J105">
        <f>SUM(H105:I105)</f>
        <v/>
      </c>
      <c r="K105">
        <f>IFERROR(IF(B105&lt;=VLOOKUP(TRIM($A105),Personnel!$A:$N,13,0),"OK","ΥΠΕΡΒΑΣΗ"),"!")</f>
        <v/>
      </c>
      <c r="L105">
        <f>IFERROR(IF(C105&lt;=VLOOKUP(TRIM($A105),Personnel!$A:$N,14,0),"OK","ΠΟΛΛΑ ΣΚ"),"!")</f>
        <v/>
      </c>
    </row>
    <row r="106">
      <c r="A106" t="inlineStr">
        <is>
          <t>ΠΑΡΓΑΣ ΚΩΝΣΤΑΝΤΙΝΟΣ</t>
        </is>
      </c>
      <c r="B106">
        <f>SUM(D106:G106)</f>
        <v/>
      </c>
      <c r="C106">
        <f>COUNTIFS(Schedule!$A$4:$A$34,"Σάββατο",Schedule!$C$4:$C$34,$A106)+COUNTIFS(Schedule!$A$4:$A$34,"Σάββατο",Schedule!$D$4:$D$34,$A106)+COUNTIFS(Schedule!$A$4:$A$34,"Σάββατο",Schedule!$E$4:$E$34,$A106)+COUNTIFS(Schedule!$A$4:$A$34,"Σάββατο",Schedule!$F$4:$F$34,$A106)+COUNTIFS(Schedule!$A$4:$A$34,"Σάββατο",Schedule!$G$4:$G$34,$A106)+COUNTIFS(Schedule!$A$4:$A$34,"Σάββατο",Schedule!$H$4:$H$34,$A106)+COUNTIFS(Schedule!$A$4:$A$34,"Σάββατο",Schedule!$I$4:$I$34,$A106)+COUNTIFS(Schedule!$A$4:$A$34,"Σάββατο",Schedule!$J$4:$J$34,$A106)+COUNTIFS(Schedule!$A$4:$A$34,"Σάββατο",Schedule!$K$4:$K$34,$A106)+COUNTIFS(Schedule!$A$4:$A$34,"Κυριακή",Schedule!$C$4:$C$34,$A106)+COUNTIFS(Schedule!$A$4:$A$34,"Κυριακή",Schedule!$D$4:$D$34,$A106)+COUNTIFS(Schedule!$A$4:$A$34,"Κυριακή",Schedule!$E$4:$E$34,$A106)+COUNTIFS(Schedule!$A$4:$A$34,"Κυριακή",Schedule!$F$4:$F$34,$A106)+COUNTIFS(Schedule!$A$4:$A$34,"Κυριακή",Schedule!$G$4:$G$34,$A106)+COUNTIFS(Schedule!$A$4:$A$34,"Κυριακή",Schedule!$H$4:$H$34,$A106)+COUNTIFS(Schedule!$A$4:$A$34,"Κυριακή",Schedule!$I$4:$I$34,$A106)+COUNTIFS(Schedule!$A$4:$A$34,"Κυριακή",Schedule!$J$4:$J$34,$A106)+COUNTIFS(Schedule!$A$4:$A$34,"Κυριακή",Schedule!$K$4:$K$34,$A106)</f>
        <v/>
      </c>
      <c r="D106">
        <f>COUNTIF(Schedule!$C$4:$C$34,$A106)+COUNTIF(Schedule!$D$4:$D$34,$A106)+COUNTIF(Schedule!$E$4:$E$34,$A106)+COUNTIF(Schedule!$F$4:$F$34,$A106)</f>
        <v/>
      </c>
      <c r="E106">
        <f>COUNTIF(Schedule!$G$4:$G$34,$A106)+COUNTIF(Schedule!$H$4:$H$34,$A106)</f>
        <v/>
      </c>
      <c r="F106">
        <f>COUNTIF(Schedule!$I$4:$I$34,$A106)+COUNTIF(Schedule!$J$4:$J$34,$A106)</f>
        <v/>
      </c>
      <c r="G106">
        <f>COUNTIF(Schedule!$K$4:$K$34,$A106)</f>
        <v/>
      </c>
      <c r="H106">
        <f>COUNTIF(Schedule!$L$4:$L$34,$A106)</f>
        <v/>
      </c>
      <c r="I106">
        <f>COUNTIF(Schedule!$M$4:$M$34,$A106)</f>
        <v/>
      </c>
      <c r="J106">
        <f>SUM(H106:I106)</f>
        <v/>
      </c>
      <c r="K106">
        <f>IFERROR(IF(B106&lt;=VLOOKUP(TRIM($A106),Personnel!$A:$N,13,0),"OK","ΥΠΕΡΒΑΣΗ"),"!")</f>
        <v/>
      </c>
      <c r="L106">
        <f>IFERROR(IF(C106&lt;=VLOOKUP(TRIM($A106),Personnel!$A:$N,14,0),"OK","ΠΟΛΛΑ ΣΚ"),"!")</f>
        <v/>
      </c>
    </row>
    <row r="107">
      <c r="A107" t="inlineStr">
        <is>
          <t>ΔΙΑΜΑΝΤΟΠΟΥΛΟΣ ΑΝΔΡΕΑΣ (ΣΚ)</t>
        </is>
      </c>
      <c r="B107">
        <f>SUM(D107:G107)</f>
        <v/>
      </c>
      <c r="C107">
        <f>COUNTIFS(Schedule!$A$4:$A$34,"Σάββατο",Schedule!$C$4:$C$34,$A107)+COUNTIFS(Schedule!$A$4:$A$34,"Σάββατο",Schedule!$D$4:$D$34,$A107)+COUNTIFS(Schedule!$A$4:$A$34,"Σάββατο",Schedule!$E$4:$E$34,$A107)+COUNTIFS(Schedule!$A$4:$A$34,"Σάββατο",Schedule!$F$4:$F$34,$A107)+COUNTIFS(Schedule!$A$4:$A$34,"Σάββατο",Schedule!$G$4:$G$34,$A107)+COUNTIFS(Schedule!$A$4:$A$34,"Σάββατο",Schedule!$H$4:$H$34,$A107)+COUNTIFS(Schedule!$A$4:$A$34,"Σάββατο",Schedule!$I$4:$I$34,$A107)+COUNTIFS(Schedule!$A$4:$A$34,"Σάββατο",Schedule!$J$4:$J$34,$A107)+COUNTIFS(Schedule!$A$4:$A$34,"Σάββατο",Schedule!$K$4:$K$34,$A107)+COUNTIFS(Schedule!$A$4:$A$34,"Κυριακή",Schedule!$C$4:$C$34,$A107)+COUNTIFS(Schedule!$A$4:$A$34,"Κυριακή",Schedule!$D$4:$D$34,$A107)+COUNTIFS(Schedule!$A$4:$A$34,"Κυριακή",Schedule!$E$4:$E$34,$A107)+COUNTIFS(Schedule!$A$4:$A$34,"Κυριακή",Schedule!$F$4:$F$34,$A107)+COUNTIFS(Schedule!$A$4:$A$34,"Κυριακή",Schedule!$G$4:$G$34,$A107)+COUNTIFS(Schedule!$A$4:$A$34,"Κυριακή",Schedule!$H$4:$H$34,$A107)+COUNTIFS(Schedule!$A$4:$A$34,"Κυριακή",Schedule!$I$4:$I$34,$A107)+COUNTIFS(Schedule!$A$4:$A$34,"Κυριακή",Schedule!$J$4:$J$34,$A107)+COUNTIFS(Schedule!$A$4:$A$34,"Κυριακή",Schedule!$K$4:$K$34,$A107)</f>
        <v/>
      </c>
      <c r="D107">
        <f>COUNTIF(Schedule!$C$4:$C$34,$A107)+COUNTIF(Schedule!$D$4:$D$34,$A107)+COUNTIF(Schedule!$E$4:$E$34,$A107)+COUNTIF(Schedule!$F$4:$F$34,$A107)</f>
        <v/>
      </c>
      <c r="E107">
        <f>COUNTIF(Schedule!$G$4:$G$34,$A107)+COUNTIF(Schedule!$H$4:$H$34,$A107)</f>
        <v/>
      </c>
      <c r="F107">
        <f>COUNTIF(Schedule!$I$4:$I$34,$A107)+COUNTIF(Schedule!$J$4:$J$34,$A107)</f>
        <v/>
      </c>
      <c r="G107">
        <f>COUNTIF(Schedule!$K$4:$K$34,$A107)</f>
        <v/>
      </c>
      <c r="H107">
        <f>COUNTIF(Schedule!$L$4:$L$34,$A107)</f>
        <v/>
      </c>
      <c r="I107">
        <f>COUNTIF(Schedule!$M$4:$M$34,$A107)</f>
        <v/>
      </c>
      <c r="J107">
        <f>SUM(H107:I107)</f>
        <v/>
      </c>
      <c r="K107">
        <f>IFERROR(IF(B107&lt;=VLOOKUP(TRIM($A107),Personnel!$A:$N,13,0),"OK","ΥΠΕΡΒΑΣΗ"),"!")</f>
        <v/>
      </c>
      <c r="L107">
        <f>IFERROR(IF(C107&lt;=VLOOKUP(TRIM($A107),Personnel!$A:$N,14,0),"OK","ΠΟΛΛΑ ΣΚ"),"!")</f>
        <v/>
      </c>
    </row>
    <row r="108">
      <c r="A108" t="inlineStr">
        <is>
          <t>ΜΠΑΓΚΑΣ ΠΑΡΑΣΚΕΥΑΣ</t>
        </is>
      </c>
      <c r="B108">
        <f>SUM(D108:G108)</f>
        <v/>
      </c>
      <c r="C108">
        <f>COUNTIFS(Schedule!$A$4:$A$34,"Σάββατο",Schedule!$C$4:$C$34,$A108)+COUNTIFS(Schedule!$A$4:$A$34,"Σάββατο",Schedule!$D$4:$D$34,$A108)+COUNTIFS(Schedule!$A$4:$A$34,"Σάββατο",Schedule!$E$4:$E$34,$A108)+COUNTIFS(Schedule!$A$4:$A$34,"Σάββατο",Schedule!$F$4:$F$34,$A108)+COUNTIFS(Schedule!$A$4:$A$34,"Σάββατο",Schedule!$G$4:$G$34,$A108)+COUNTIFS(Schedule!$A$4:$A$34,"Σάββατο",Schedule!$H$4:$H$34,$A108)+COUNTIFS(Schedule!$A$4:$A$34,"Σάββατο",Schedule!$I$4:$I$34,$A108)+COUNTIFS(Schedule!$A$4:$A$34,"Σάββατο",Schedule!$J$4:$J$34,$A108)+COUNTIFS(Schedule!$A$4:$A$34,"Σάββατο",Schedule!$K$4:$K$34,$A108)+COUNTIFS(Schedule!$A$4:$A$34,"Κυριακή",Schedule!$C$4:$C$34,$A108)+COUNTIFS(Schedule!$A$4:$A$34,"Κυριακή",Schedule!$D$4:$D$34,$A108)+COUNTIFS(Schedule!$A$4:$A$34,"Κυριακή",Schedule!$E$4:$E$34,$A108)+COUNTIFS(Schedule!$A$4:$A$34,"Κυριακή",Schedule!$F$4:$F$34,$A108)+COUNTIFS(Schedule!$A$4:$A$34,"Κυριακή",Schedule!$G$4:$G$34,$A108)+COUNTIFS(Schedule!$A$4:$A$34,"Κυριακή",Schedule!$H$4:$H$34,$A108)+COUNTIFS(Schedule!$A$4:$A$34,"Κυριακή",Schedule!$I$4:$I$34,$A108)+COUNTIFS(Schedule!$A$4:$A$34,"Κυριακή",Schedule!$J$4:$J$34,$A108)+COUNTIFS(Schedule!$A$4:$A$34,"Κυριακή",Schedule!$K$4:$K$34,$A108)</f>
        <v/>
      </c>
      <c r="D108">
        <f>COUNTIF(Schedule!$C$4:$C$34,$A108)+COUNTIF(Schedule!$D$4:$D$34,$A108)+COUNTIF(Schedule!$E$4:$E$34,$A108)+COUNTIF(Schedule!$F$4:$F$34,$A108)</f>
        <v/>
      </c>
      <c r="E108">
        <f>COUNTIF(Schedule!$G$4:$G$34,$A108)+COUNTIF(Schedule!$H$4:$H$34,$A108)</f>
        <v/>
      </c>
      <c r="F108">
        <f>COUNTIF(Schedule!$I$4:$I$34,$A108)+COUNTIF(Schedule!$J$4:$J$34,$A108)</f>
        <v/>
      </c>
      <c r="G108">
        <f>COUNTIF(Schedule!$K$4:$K$34,$A108)</f>
        <v/>
      </c>
      <c r="H108">
        <f>COUNTIF(Schedule!$L$4:$L$34,$A108)</f>
        <v/>
      </c>
      <c r="I108">
        <f>COUNTIF(Schedule!$M$4:$M$34,$A108)</f>
        <v/>
      </c>
      <c r="J108">
        <f>SUM(H108:I108)</f>
        <v/>
      </c>
      <c r="K108">
        <f>IFERROR(IF(B108&lt;=VLOOKUP(TRIM($A108),Personnel!$A:$N,13,0),"OK","ΥΠΕΡΒΑΣΗ"),"!")</f>
        <v/>
      </c>
      <c r="L108">
        <f>IFERROR(IF(C108&lt;=VLOOKUP(TRIM($A108),Personnel!$A:$N,14,0),"OK","ΠΟΛΛΑ ΣΚ"),"!")</f>
        <v/>
      </c>
    </row>
    <row r="109">
      <c r="A109" t="inlineStr">
        <is>
          <t>ΠΕΤΥΧΑΚΗΣ ΚΩΝΣΤΑΝΤΙΝΟΣ</t>
        </is>
      </c>
      <c r="B109">
        <f>SUM(D109:G109)</f>
        <v/>
      </c>
      <c r="C109">
        <f>COUNTIFS(Schedule!$A$4:$A$34,"Σάββατο",Schedule!$C$4:$C$34,$A109)+COUNTIFS(Schedule!$A$4:$A$34,"Σάββατο",Schedule!$D$4:$D$34,$A109)+COUNTIFS(Schedule!$A$4:$A$34,"Σάββατο",Schedule!$E$4:$E$34,$A109)+COUNTIFS(Schedule!$A$4:$A$34,"Σάββατο",Schedule!$F$4:$F$34,$A109)+COUNTIFS(Schedule!$A$4:$A$34,"Σάββατο",Schedule!$G$4:$G$34,$A109)+COUNTIFS(Schedule!$A$4:$A$34,"Σάββατο",Schedule!$H$4:$H$34,$A109)+COUNTIFS(Schedule!$A$4:$A$34,"Σάββατο",Schedule!$I$4:$I$34,$A109)+COUNTIFS(Schedule!$A$4:$A$34,"Σάββατο",Schedule!$J$4:$J$34,$A109)+COUNTIFS(Schedule!$A$4:$A$34,"Σάββατο",Schedule!$K$4:$K$34,$A109)+COUNTIFS(Schedule!$A$4:$A$34,"Κυριακή",Schedule!$C$4:$C$34,$A109)+COUNTIFS(Schedule!$A$4:$A$34,"Κυριακή",Schedule!$D$4:$D$34,$A109)+COUNTIFS(Schedule!$A$4:$A$34,"Κυριακή",Schedule!$E$4:$E$34,$A109)+COUNTIFS(Schedule!$A$4:$A$34,"Κυριακή",Schedule!$F$4:$F$34,$A109)+COUNTIFS(Schedule!$A$4:$A$34,"Κυριακή",Schedule!$G$4:$G$34,$A109)+COUNTIFS(Schedule!$A$4:$A$34,"Κυριακή",Schedule!$H$4:$H$34,$A109)+COUNTIFS(Schedule!$A$4:$A$34,"Κυριακή",Schedule!$I$4:$I$34,$A109)+COUNTIFS(Schedule!$A$4:$A$34,"Κυριακή",Schedule!$J$4:$J$34,$A109)+COUNTIFS(Schedule!$A$4:$A$34,"Κυριακή",Schedule!$K$4:$K$34,$A109)</f>
        <v/>
      </c>
      <c r="D109">
        <f>COUNTIF(Schedule!$C$4:$C$34,$A109)+COUNTIF(Schedule!$D$4:$D$34,$A109)+COUNTIF(Schedule!$E$4:$E$34,$A109)+COUNTIF(Schedule!$F$4:$F$34,$A109)</f>
        <v/>
      </c>
      <c r="E109">
        <f>COUNTIF(Schedule!$G$4:$G$34,$A109)+COUNTIF(Schedule!$H$4:$H$34,$A109)</f>
        <v/>
      </c>
      <c r="F109">
        <f>COUNTIF(Schedule!$I$4:$I$34,$A109)+COUNTIF(Schedule!$J$4:$J$34,$A109)</f>
        <v/>
      </c>
      <c r="G109">
        <f>COUNTIF(Schedule!$K$4:$K$34,$A109)</f>
        <v/>
      </c>
      <c r="H109">
        <f>COUNTIF(Schedule!$L$4:$L$34,$A109)</f>
        <v/>
      </c>
      <c r="I109">
        <f>COUNTIF(Schedule!$M$4:$M$34,$A109)</f>
        <v/>
      </c>
      <c r="J109">
        <f>SUM(H109:I109)</f>
        <v/>
      </c>
      <c r="K109">
        <f>IFERROR(IF(B109&lt;=VLOOKUP(TRIM($A109),Personnel!$A:$N,13,0),"OK","ΥΠΕΡΒΑΣΗ"),"!")</f>
        <v/>
      </c>
      <c r="L109">
        <f>IFERROR(IF(C109&lt;=VLOOKUP(TRIM($A109),Personnel!$A:$N,14,0),"OK","ΠΟΛΛΑ ΣΚ"),"!")</f>
        <v/>
      </c>
    </row>
    <row r="110">
      <c r="A110" t="inlineStr">
        <is>
          <t>ΓΚΟΣΔΗΣ ΦΩΤΙΟΣ</t>
        </is>
      </c>
      <c r="B110">
        <f>SUM(D110:G110)</f>
        <v/>
      </c>
      <c r="C110">
        <f>COUNTIFS(Schedule!$A$4:$A$34,"Σάββατο",Schedule!$C$4:$C$34,$A110)+COUNTIFS(Schedule!$A$4:$A$34,"Σάββατο",Schedule!$D$4:$D$34,$A110)+COUNTIFS(Schedule!$A$4:$A$34,"Σάββατο",Schedule!$E$4:$E$34,$A110)+COUNTIFS(Schedule!$A$4:$A$34,"Σάββατο",Schedule!$F$4:$F$34,$A110)+COUNTIFS(Schedule!$A$4:$A$34,"Σάββατο",Schedule!$G$4:$G$34,$A110)+COUNTIFS(Schedule!$A$4:$A$34,"Σάββατο",Schedule!$H$4:$H$34,$A110)+COUNTIFS(Schedule!$A$4:$A$34,"Σάββατο",Schedule!$I$4:$I$34,$A110)+COUNTIFS(Schedule!$A$4:$A$34,"Σάββατο",Schedule!$J$4:$J$34,$A110)+COUNTIFS(Schedule!$A$4:$A$34,"Σάββατο",Schedule!$K$4:$K$34,$A110)+COUNTIFS(Schedule!$A$4:$A$34,"Κυριακή",Schedule!$C$4:$C$34,$A110)+COUNTIFS(Schedule!$A$4:$A$34,"Κυριακή",Schedule!$D$4:$D$34,$A110)+COUNTIFS(Schedule!$A$4:$A$34,"Κυριακή",Schedule!$E$4:$E$34,$A110)+COUNTIFS(Schedule!$A$4:$A$34,"Κυριακή",Schedule!$F$4:$F$34,$A110)+COUNTIFS(Schedule!$A$4:$A$34,"Κυριακή",Schedule!$G$4:$G$34,$A110)+COUNTIFS(Schedule!$A$4:$A$34,"Κυριακή",Schedule!$H$4:$H$34,$A110)+COUNTIFS(Schedule!$A$4:$A$34,"Κυριακή",Schedule!$I$4:$I$34,$A110)+COUNTIFS(Schedule!$A$4:$A$34,"Κυριακή",Schedule!$J$4:$J$34,$A110)+COUNTIFS(Schedule!$A$4:$A$34,"Κυριακή",Schedule!$K$4:$K$34,$A110)</f>
        <v/>
      </c>
      <c r="D110">
        <f>COUNTIF(Schedule!$C$4:$C$34,$A110)+COUNTIF(Schedule!$D$4:$D$34,$A110)+COUNTIF(Schedule!$E$4:$E$34,$A110)+COUNTIF(Schedule!$F$4:$F$34,$A110)</f>
        <v/>
      </c>
      <c r="E110">
        <f>COUNTIF(Schedule!$G$4:$G$34,$A110)+COUNTIF(Schedule!$H$4:$H$34,$A110)</f>
        <v/>
      </c>
      <c r="F110">
        <f>COUNTIF(Schedule!$I$4:$I$34,$A110)+COUNTIF(Schedule!$J$4:$J$34,$A110)</f>
        <v/>
      </c>
      <c r="G110">
        <f>COUNTIF(Schedule!$K$4:$K$34,$A110)</f>
        <v/>
      </c>
      <c r="H110">
        <f>COUNTIF(Schedule!$L$4:$L$34,$A110)</f>
        <v/>
      </c>
      <c r="I110">
        <f>COUNTIF(Schedule!$M$4:$M$34,$A110)</f>
        <v/>
      </c>
      <c r="J110">
        <f>SUM(H110:I110)</f>
        <v/>
      </c>
      <c r="K110">
        <f>IFERROR(IF(B110&lt;=VLOOKUP(TRIM($A110),Personnel!$A:$N,13,0),"OK","ΥΠΕΡΒΑΣΗ"),"!")</f>
        <v/>
      </c>
      <c r="L110">
        <f>IFERROR(IF(C110&lt;=VLOOKUP(TRIM($A110),Personnel!$A:$N,14,0),"OK","ΠΟΛΛΑ ΣΚ"),"!")</f>
        <v/>
      </c>
    </row>
    <row r="111">
      <c r="A111" t="inlineStr">
        <is>
          <t>ΠΑΠΑΘΑΝΑΣΙΟΥ ΑΛΕΞΑΝΔΡΟΣ</t>
        </is>
      </c>
      <c r="B111">
        <f>SUM(D111:G111)</f>
        <v/>
      </c>
      <c r="C111">
        <f>COUNTIFS(Schedule!$A$4:$A$34,"Σάββατο",Schedule!$C$4:$C$34,$A111)+COUNTIFS(Schedule!$A$4:$A$34,"Σάββατο",Schedule!$D$4:$D$34,$A111)+COUNTIFS(Schedule!$A$4:$A$34,"Σάββατο",Schedule!$E$4:$E$34,$A111)+COUNTIFS(Schedule!$A$4:$A$34,"Σάββατο",Schedule!$F$4:$F$34,$A111)+COUNTIFS(Schedule!$A$4:$A$34,"Σάββατο",Schedule!$G$4:$G$34,$A111)+COUNTIFS(Schedule!$A$4:$A$34,"Σάββατο",Schedule!$H$4:$H$34,$A111)+COUNTIFS(Schedule!$A$4:$A$34,"Σάββατο",Schedule!$I$4:$I$34,$A111)+COUNTIFS(Schedule!$A$4:$A$34,"Σάββατο",Schedule!$J$4:$J$34,$A111)+COUNTIFS(Schedule!$A$4:$A$34,"Σάββατο",Schedule!$K$4:$K$34,$A111)+COUNTIFS(Schedule!$A$4:$A$34,"Κυριακή",Schedule!$C$4:$C$34,$A111)+COUNTIFS(Schedule!$A$4:$A$34,"Κυριακή",Schedule!$D$4:$D$34,$A111)+COUNTIFS(Schedule!$A$4:$A$34,"Κυριακή",Schedule!$E$4:$E$34,$A111)+COUNTIFS(Schedule!$A$4:$A$34,"Κυριακή",Schedule!$F$4:$F$34,$A111)+COUNTIFS(Schedule!$A$4:$A$34,"Κυριακή",Schedule!$G$4:$G$34,$A111)+COUNTIFS(Schedule!$A$4:$A$34,"Κυριακή",Schedule!$H$4:$H$34,$A111)+COUNTIFS(Schedule!$A$4:$A$34,"Κυριακή",Schedule!$I$4:$I$34,$A111)+COUNTIFS(Schedule!$A$4:$A$34,"Κυριακή",Schedule!$J$4:$J$34,$A111)+COUNTIFS(Schedule!$A$4:$A$34,"Κυριακή",Schedule!$K$4:$K$34,$A111)</f>
        <v/>
      </c>
      <c r="D111">
        <f>COUNTIF(Schedule!$C$4:$C$34,$A111)+COUNTIF(Schedule!$D$4:$D$34,$A111)+COUNTIF(Schedule!$E$4:$E$34,$A111)+COUNTIF(Schedule!$F$4:$F$34,$A111)</f>
        <v/>
      </c>
      <c r="E111">
        <f>COUNTIF(Schedule!$G$4:$G$34,$A111)+COUNTIF(Schedule!$H$4:$H$34,$A111)</f>
        <v/>
      </c>
      <c r="F111">
        <f>COUNTIF(Schedule!$I$4:$I$34,$A111)+COUNTIF(Schedule!$J$4:$J$34,$A111)</f>
        <v/>
      </c>
      <c r="G111">
        <f>COUNTIF(Schedule!$K$4:$K$34,$A111)</f>
        <v/>
      </c>
      <c r="H111">
        <f>COUNTIF(Schedule!$L$4:$L$34,$A111)</f>
        <v/>
      </c>
      <c r="I111">
        <f>COUNTIF(Schedule!$M$4:$M$34,$A111)</f>
        <v/>
      </c>
      <c r="J111">
        <f>SUM(H111:I111)</f>
        <v/>
      </c>
      <c r="K111">
        <f>IFERROR(IF(B111&lt;=VLOOKUP(TRIM($A111),Personnel!$A:$N,13,0),"OK","ΥΠΕΡΒΑΣΗ"),"!")</f>
        <v/>
      </c>
      <c r="L111">
        <f>IFERROR(IF(C111&lt;=VLOOKUP(TRIM($A111),Personnel!$A:$N,14,0),"OK","ΠΟΛΛΑ ΣΚ"),"!")</f>
        <v/>
      </c>
    </row>
    <row r="112">
      <c r="A112" t="inlineStr">
        <is>
          <t>ΠΟΛΥΖΩΓΟΠΟΥΛΟΣ ΑΝΔΡΕΑΣ</t>
        </is>
      </c>
      <c r="B112">
        <f>SUM(D112:G112)</f>
        <v/>
      </c>
      <c r="C112">
        <f>COUNTIFS(Schedule!$A$4:$A$34,"Σάββατο",Schedule!$C$4:$C$34,$A112)+COUNTIFS(Schedule!$A$4:$A$34,"Σάββατο",Schedule!$D$4:$D$34,$A112)+COUNTIFS(Schedule!$A$4:$A$34,"Σάββατο",Schedule!$E$4:$E$34,$A112)+COUNTIFS(Schedule!$A$4:$A$34,"Σάββατο",Schedule!$F$4:$F$34,$A112)+COUNTIFS(Schedule!$A$4:$A$34,"Σάββατο",Schedule!$G$4:$G$34,$A112)+COUNTIFS(Schedule!$A$4:$A$34,"Σάββατο",Schedule!$H$4:$H$34,$A112)+COUNTIFS(Schedule!$A$4:$A$34,"Σάββατο",Schedule!$I$4:$I$34,$A112)+COUNTIFS(Schedule!$A$4:$A$34,"Σάββατο",Schedule!$J$4:$J$34,$A112)+COUNTIFS(Schedule!$A$4:$A$34,"Σάββατο",Schedule!$K$4:$K$34,$A112)+COUNTIFS(Schedule!$A$4:$A$34,"Κυριακή",Schedule!$C$4:$C$34,$A112)+COUNTIFS(Schedule!$A$4:$A$34,"Κυριακή",Schedule!$D$4:$D$34,$A112)+COUNTIFS(Schedule!$A$4:$A$34,"Κυριακή",Schedule!$E$4:$E$34,$A112)+COUNTIFS(Schedule!$A$4:$A$34,"Κυριακή",Schedule!$F$4:$F$34,$A112)+COUNTIFS(Schedule!$A$4:$A$34,"Κυριακή",Schedule!$G$4:$G$34,$A112)+COUNTIFS(Schedule!$A$4:$A$34,"Κυριακή",Schedule!$H$4:$H$34,$A112)+COUNTIFS(Schedule!$A$4:$A$34,"Κυριακή",Schedule!$I$4:$I$34,$A112)+COUNTIFS(Schedule!$A$4:$A$34,"Κυριακή",Schedule!$J$4:$J$34,$A112)+COUNTIFS(Schedule!$A$4:$A$34,"Κυριακή",Schedule!$K$4:$K$34,$A112)</f>
        <v/>
      </c>
      <c r="D112">
        <f>COUNTIF(Schedule!$C$4:$C$34,$A112)+COUNTIF(Schedule!$D$4:$D$34,$A112)+COUNTIF(Schedule!$E$4:$E$34,$A112)+COUNTIF(Schedule!$F$4:$F$34,$A112)</f>
        <v/>
      </c>
      <c r="E112">
        <f>COUNTIF(Schedule!$G$4:$G$34,$A112)+COUNTIF(Schedule!$H$4:$H$34,$A112)</f>
        <v/>
      </c>
      <c r="F112">
        <f>COUNTIF(Schedule!$I$4:$I$34,$A112)+COUNTIF(Schedule!$J$4:$J$34,$A112)</f>
        <v/>
      </c>
      <c r="G112">
        <f>COUNTIF(Schedule!$K$4:$K$34,$A112)</f>
        <v/>
      </c>
      <c r="H112">
        <f>COUNTIF(Schedule!$L$4:$L$34,$A112)</f>
        <v/>
      </c>
      <c r="I112">
        <f>COUNTIF(Schedule!$M$4:$M$34,$A112)</f>
        <v/>
      </c>
      <c r="J112">
        <f>SUM(H112:I112)</f>
        <v/>
      </c>
      <c r="K112">
        <f>IFERROR(IF(B112&lt;=VLOOKUP(TRIM($A112),Personnel!$A:$N,13,0),"OK","ΥΠΕΡΒΑΣΗ"),"!")</f>
        <v/>
      </c>
      <c r="L112">
        <f>IFERROR(IF(C112&lt;=VLOOKUP(TRIM($A112),Personnel!$A:$N,14,0),"OK","ΠΟΛΛΑ ΣΚ"),"!")</f>
        <v/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C67"/>
  <sheetViews>
    <sheetView topLeftCell="A50" workbookViewId="0">
      <selection activeCell="E58" sqref="E58"/>
    </sheetView>
  </sheetViews>
  <sheetFormatPr baseColWidth="8" defaultRowHeight="14.5"/>
  <cols>
    <col width="17.453125" customWidth="1" min="1" max="1"/>
    <col width="27.54296875" customWidth="1" min="2" max="3"/>
  </cols>
  <sheetData>
    <row r="1">
      <c r="A1" t="inlineStr">
        <is>
          <t>DATE</t>
        </is>
      </c>
      <c r="B1" t="inlineStr">
        <is>
          <t>NAME</t>
        </is>
      </c>
      <c r="C1" t="inlineStr">
        <is>
          <t>TYPE</t>
        </is>
      </c>
    </row>
    <row r="2">
      <c r="A2" s="35" t="n">
        <v>46105</v>
      </c>
      <c r="B2" t="inlineStr">
        <is>
          <t>ΠΑΠΑΓΕΩΡΓΙΟΥ ΛΟΥΚΑΣ ΑΛΕΞΑΝΔΡΟΣ 1-2 ΜΗΝΑ</t>
        </is>
      </c>
      <c r="C2" t="inlineStr">
        <is>
          <t>regular</t>
        </is>
      </c>
    </row>
    <row r="3">
      <c r="A3" s="35" t="n">
        <v>46105</v>
      </c>
      <c r="B3" t="inlineStr">
        <is>
          <t>ΣΤΕΡΓΙΟΥ ΜΙΧΑΗΛ</t>
        </is>
      </c>
      <c r="C3" t="inlineStr">
        <is>
          <t>regular</t>
        </is>
      </c>
    </row>
    <row r="4">
      <c r="A4" s="35" t="n">
        <v>46105</v>
      </c>
      <c r="B4" t="inlineStr">
        <is>
          <t>ΛΥΜΠΕΡΑΤΟΣ ΑΝΔΡΕΑΣ (ΟΧΙ ΣΚ) (ΣΤΗΝ ΑΝΑΓΚΗ 1 ΒΑΥΔΜ ΣΚ)</t>
        </is>
      </c>
      <c r="C4" t="inlineStr">
        <is>
          <t>regular</t>
        </is>
      </c>
    </row>
    <row r="5">
      <c r="A5" s="35" t="n">
        <v>46105</v>
      </c>
      <c r="B5" t="inlineStr">
        <is>
          <t>ΠΛΕΜΜΕΝΟΣ ΠΡΟΔΡΟΜΟΣ</t>
        </is>
      </c>
      <c r="C5" t="inlineStr">
        <is>
          <t>regular</t>
        </is>
      </c>
    </row>
    <row r="6">
      <c r="A6" s="35" t="n">
        <v>46105</v>
      </c>
      <c r="B6" t="inlineStr">
        <is>
          <t>ΚΩΣΤΟΓΙΑΝΝΗΣ ΓΕΩΡΓΙΟΣ</t>
        </is>
      </c>
      <c r="C6" t="inlineStr">
        <is>
          <t>regular</t>
        </is>
      </c>
    </row>
    <row r="7">
      <c r="A7" s="35" t="n">
        <v>46105</v>
      </c>
      <c r="B7" t="inlineStr">
        <is>
          <t>ΚΑΡΑΣΑΒΒΑΣ ΠΑΝΤΕΛΕΗΜΩΝ</t>
        </is>
      </c>
      <c r="C7" t="inlineStr">
        <is>
          <t>regular</t>
        </is>
      </c>
    </row>
    <row r="8">
      <c r="A8" s="35" t="n">
        <v>46105</v>
      </c>
      <c r="B8" t="inlineStr">
        <is>
          <t>ΒΛΑΧΟΣ ΜΑΡΙΟΣ</t>
        </is>
      </c>
      <c r="C8" t="inlineStr">
        <is>
          <t>reserve</t>
        </is>
      </c>
    </row>
    <row r="9">
      <c r="A9" s="35" t="n">
        <v>46105</v>
      </c>
      <c r="B9" t="inlineStr">
        <is>
          <t>ΠΑΠΑΔΟΠΟΥΛΟΣ ΚΩΝΣΤΑΝΤΙΝΟΣ</t>
        </is>
      </c>
      <c r="C9" t="inlineStr">
        <is>
          <t>reserve</t>
        </is>
      </c>
    </row>
    <row r="10">
      <c r="A10" s="35" t="n">
        <v>46106</v>
      </c>
      <c r="B10" t="inlineStr">
        <is>
          <t>ΘΕΟΦΙΛΟΓΙΑΝΝΑΚΟΣ ΒΑΣΙΛΕΙΟΣ</t>
        </is>
      </c>
      <c r="C10" t="inlineStr">
        <is>
          <t>regular</t>
        </is>
      </c>
    </row>
    <row r="11">
      <c r="A11" s="35" t="n">
        <v>46106</v>
      </c>
      <c r="B11" t="inlineStr">
        <is>
          <t>ΣΠΥΡΟΠΟΥΛΟΣ ΔΙΟΝΥΣΙΟΣ</t>
        </is>
      </c>
      <c r="C11" t="inlineStr">
        <is>
          <t>regular</t>
        </is>
      </c>
    </row>
    <row r="12">
      <c r="A12" s="35" t="n">
        <v>46106</v>
      </c>
      <c r="B12" t="inlineStr">
        <is>
          <t>ΣΑΓΙΑΝΝΗΣ ΓΕΩΡΓΙΟΣ</t>
        </is>
      </c>
      <c r="C12" t="inlineStr">
        <is>
          <t>regular</t>
        </is>
      </c>
    </row>
    <row r="13">
      <c r="A13" s="35" t="n">
        <v>46106</v>
      </c>
      <c r="B13" t="inlineStr">
        <is>
          <t>ΚΑΛΑΡΓΥΡΟΣ ΝΙΚΟΛΑΟΣ</t>
        </is>
      </c>
      <c r="C13" t="inlineStr">
        <is>
          <t>regular</t>
        </is>
      </c>
    </row>
    <row r="14">
      <c r="A14" s="35" t="n">
        <v>46106</v>
      </c>
      <c r="B14" t="inlineStr">
        <is>
          <t>ΔΑΣΟΥΛΑΣ ΓΕΩΡΓΙΟΣ</t>
        </is>
      </c>
      <c r="C14" t="inlineStr">
        <is>
          <t>regular</t>
        </is>
      </c>
    </row>
    <row r="15">
      <c r="A15" s="35" t="n">
        <v>46106</v>
      </c>
      <c r="B15" t="inlineStr">
        <is>
          <t>ΤΡΙΑΝΤΑΦΥΛΛΟΥ ΦΡΑΓΚΙΣΚΟΣ</t>
        </is>
      </c>
      <c r="C15" t="inlineStr">
        <is>
          <t>regular</t>
        </is>
      </c>
    </row>
    <row r="16">
      <c r="A16" s="35" t="n">
        <v>46106</v>
      </c>
      <c r="B16" t="inlineStr">
        <is>
          <t>ΠΑΣΤΡΑΣ ΑΓΓΕΛΟΣ (ΒΑΥΔΜ)</t>
        </is>
      </c>
      <c r="C16" t="inlineStr">
        <is>
          <t>regular</t>
        </is>
      </c>
    </row>
    <row r="17">
      <c r="A17" s="35" t="n">
        <v>46106</v>
      </c>
      <c r="B17" t="inlineStr">
        <is>
          <t>ΜΑΛΤΑΣ ΓΕΩΡΓΙΟΣ</t>
        </is>
      </c>
      <c r="C17" t="inlineStr">
        <is>
          <t>reserve</t>
        </is>
      </c>
    </row>
    <row r="18">
      <c r="A18" s="35" t="n">
        <v>46106</v>
      </c>
      <c r="B18" t="inlineStr">
        <is>
          <t>ΣΑΡΑΚΙΝΤΣΗΣ ΣΤΥΛΙΑΝΟΣ</t>
        </is>
      </c>
      <c r="C18" t="inlineStr">
        <is>
          <t>reserve</t>
        </is>
      </c>
    </row>
    <row r="19">
      <c r="A19" s="35" t="n">
        <v>46107</v>
      </c>
      <c r="B19" t="inlineStr">
        <is>
          <t>ΣΤΑΜΟΥ ΙΩΑΝΝΗΣ</t>
        </is>
      </c>
      <c r="C19" t="inlineStr">
        <is>
          <t>regular</t>
        </is>
      </c>
    </row>
    <row r="20">
      <c r="A20" s="35" t="n">
        <v>46107</v>
      </c>
      <c r="B20" t="inlineStr">
        <is>
          <t>ΖΑΡΜΑΚΟΥΠΗΣ ΓΕΩΡΓΙΟΣ</t>
        </is>
      </c>
      <c r="C20" t="inlineStr">
        <is>
          <t>regular</t>
        </is>
      </c>
    </row>
    <row r="21">
      <c r="A21" s="35" t="n">
        <v>46107</v>
      </c>
      <c r="B21" t="inlineStr">
        <is>
          <t>ΚΩΝΣΤΑΝΤΙΝΙΔΗΣ ΙΩΑΝΝΗΣ</t>
        </is>
      </c>
      <c r="C21" t="inlineStr">
        <is>
          <t>regular</t>
        </is>
      </c>
    </row>
    <row r="22">
      <c r="A22" s="35" t="n">
        <v>46107</v>
      </c>
      <c r="B22" t="inlineStr">
        <is>
          <t>ΜΑΝΩΛΟΥΔΗΣ ΣΠΥΡΙΔΩΝ</t>
        </is>
      </c>
      <c r="C22" t="inlineStr">
        <is>
          <t>regular</t>
        </is>
      </c>
    </row>
    <row r="23">
      <c r="A23" s="35" t="n">
        <v>46107</v>
      </c>
      <c r="B23" t="inlineStr">
        <is>
          <t>ΣΤΡΑΤΟΣ ΒΑΣΙΛΕΙΟΣ</t>
        </is>
      </c>
      <c r="C23" t="inlineStr">
        <is>
          <t>regular</t>
        </is>
      </c>
    </row>
    <row r="24">
      <c r="A24" s="35" t="n">
        <v>46107</v>
      </c>
      <c r="B24" t="inlineStr">
        <is>
          <t>ΦΙΝΕΣ ΛΟΥΚΑΣ</t>
        </is>
      </c>
      <c r="C24" t="inlineStr">
        <is>
          <t>regular</t>
        </is>
      </c>
    </row>
    <row r="25">
      <c r="A25" s="35" t="n">
        <v>46107</v>
      </c>
      <c r="B25" t="inlineStr">
        <is>
          <t>ΠΑΠΠΑΣ ΕΛΕΥΘΕΡΙΟΣ</t>
        </is>
      </c>
      <c r="C25" t="inlineStr">
        <is>
          <t>reserve</t>
        </is>
      </c>
    </row>
    <row r="26">
      <c r="A26" s="35" t="n">
        <v>46107</v>
      </c>
      <c r="B26" t="inlineStr">
        <is>
          <t>ΤΖΙΩΤΑΚΗΣ ΓΕΩΡΓΙΟΣ</t>
        </is>
      </c>
      <c r="C26" t="inlineStr">
        <is>
          <t>reserve</t>
        </is>
      </c>
    </row>
    <row r="27">
      <c r="A27" s="35" t="n">
        <v>46108</v>
      </c>
      <c r="B27" t="inlineStr">
        <is>
          <t>ΜΠΑΡΑΛΗΣ ΗΛΙΑΣ</t>
        </is>
      </c>
      <c r="C27" t="inlineStr">
        <is>
          <t>regular</t>
        </is>
      </c>
    </row>
    <row r="28">
      <c r="A28" s="35" t="n">
        <v>46108</v>
      </c>
      <c r="B28" t="inlineStr">
        <is>
          <t>ΘΩΜΟΠΟΥΛΟΣ ΔΗΜΗΤΡΙΟΣ (ΜΟΝΟ ΚΑΘΗΜΕΡΙΝΕΣ, ΜΠΟΡΕΙ ΚΑΙ Χ2 ΤΗΝ ΒΔΟΜΑΔΑ)</t>
        </is>
      </c>
      <c r="C28" t="inlineStr">
        <is>
          <t>regular</t>
        </is>
      </c>
    </row>
    <row r="29">
      <c r="A29" s="35" t="n">
        <v>46108</v>
      </c>
      <c r="B29" t="inlineStr">
        <is>
          <t>ΒΑΣΙΛΟΠΟΥΛΟΣ ΧΡΥΣΟΒΑΛΆΝΤΗΣ</t>
        </is>
      </c>
      <c r="C29" t="inlineStr">
        <is>
          <t>regular</t>
        </is>
      </c>
    </row>
    <row r="30">
      <c r="A30" s="35" t="n">
        <v>46108</v>
      </c>
      <c r="B30" t="inlineStr">
        <is>
          <t>ΚΙΝΙΝΗΣ ΔΗΜΗΤΡΙΟΣ</t>
        </is>
      </c>
      <c r="C30" t="inlineStr">
        <is>
          <t>regular</t>
        </is>
      </c>
    </row>
    <row r="31">
      <c r="A31" s="35" t="n">
        <v>46108</v>
      </c>
      <c r="B31" t="inlineStr">
        <is>
          <t>ΦΟΥΝΤΟΡΑΔΑΚΗΣ ΙΩΣΗΦ (ΠΡΟΤΙΜΗΣΗ ΠΑΡΑΣΚΕΥΗ)</t>
        </is>
      </c>
      <c r="C31" t="inlineStr">
        <is>
          <t>regular</t>
        </is>
      </c>
    </row>
    <row r="32">
      <c r="A32" s="35" t="n">
        <v>46108</v>
      </c>
      <c r="B32" t="inlineStr">
        <is>
          <t>ΑΠΟΣΤΟΛΟΥ ΚΩΝΣΤΑΝΤΙΝΟΣ</t>
        </is>
      </c>
      <c r="C32" t="inlineStr">
        <is>
          <t>regular</t>
        </is>
      </c>
    </row>
    <row r="33">
      <c r="A33" s="35" t="n">
        <v>46108</v>
      </c>
      <c r="B33" t="inlineStr">
        <is>
          <t>ΠΙΕΡΡΟΣ ΠΑΝΑΓΙΩΤΗΣ (Ι2)</t>
        </is>
      </c>
      <c r="C33" t="inlineStr">
        <is>
          <t>regular</t>
        </is>
      </c>
    </row>
    <row r="34">
      <c r="A34" s="35" t="n">
        <v>46108</v>
      </c>
      <c r="B34" t="inlineStr">
        <is>
          <t>ΣΑΡΑΚΙΝΤΣΗΣ ΜΑΡΙΟΣ</t>
        </is>
      </c>
      <c r="C34" t="inlineStr">
        <is>
          <t>reserve</t>
        </is>
      </c>
    </row>
    <row r="35">
      <c r="A35" s="35" t="n">
        <v>46108</v>
      </c>
      <c r="B35" t="inlineStr">
        <is>
          <t>ΕΛΕΥΘΕΡΙΟΥ ΑΝΤΩΝΙΟΣ</t>
        </is>
      </c>
      <c r="C35" t="inlineStr">
        <is>
          <t>reserve</t>
        </is>
      </c>
    </row>
    <row r="36">
      <c r="A36" s="35" t="n">
        <v>46109</v>
      </c>
      <c r="B36" t="inlineStr">
        <is>
          <t>ΚΟΥΝΑΝΗΣ ΚΥΡΙΑΚΟΣ</t>
        </is>
      </c>
      <c r="C36" t="inlineStr">
        <is>
          <t>regular</t>
        </is>
      </c>
    </row>
    <row r="37">
      <c r="A37" s="35" t="n">
        <v>46109</v>
      </c>
      <c r="B37" t="inlineStr">
        <is>
          <t>ΜΠΟΥΚΟΥΡΑΣ ΕΠΑΜΕΙΝΩΝΔΑΣ</t>
        </is>
      </c>
      <c r="C37" t="inlineStr">
        <is>
          <t>regular</t>
        </is>
      </c>
    </row>
    <row r="38">
      <c r="A38" s="35" t="n">
        <v>46109</v>
      </c>
      <c r="B38" t="inlineStr">
        <is>
          <t>ΓΙΑΝΝΟΓΛΟΥ ΠΑΡΘΕΝΙΟΣ ΑΓΓΕΛΟΣ</t>
        </is>
      </c>
      <c r="C38" t="inlineStr">
        <is>
          <t>regular</t>
        </is>
      </c>
    </row>
    <row r="39">
      <c r="A39" s="35" t="n">
        <v>46109</v>
      </c>
      <c r="B39" t="inlineStr">
        <is>
          <t>ΣΤΑΜΑΤΟΓΛΟΥ ΔΗΜΗΤΡΙΟΣ</t>
        </is>
      </c>
      <c r="C39" t="inlineStr">
        <is>
          <t>regular</t>
        </is>
      </c>
    </row>
    <row r="40">
      <c r="A40" s="35" t="n">
        <v>46109</v>
      </c>
      <c r="B40" t="inlineStr">
        <is>
          <t>ΣΠΥΡΙΔΗΣ ΟΡΕΣΤΗΣ</t>
        </is>
      </c>
      <c r="C40" t="inlineStr">
        <is>
          <t>regular</t>
        </is>
      </c>
    </row>
    <row r="41">
      <c r="A41" s="35" t="n">
        <v>46109</v>
      </c>
      <c r="B41" t="inlineStr">
        <is>
          <t>ΤΣΟΡΩΤΑΣ ΧΑΡΑΛΑΜΠΟΣ (Ι3 ΑΟΠΛΟ)</t>
        </is>
      </c>
      <c r="C41" t="inlineStr">
        <is>
          <t>regular</t>
        </is>
      </c>
    </row>
    <row r="42">
      <c r="A42" s="35" t="n">
        <v>46109</v>
      </c>
      <c r="B42" t="inlineStr">
        <is>
          <t>ΛΥΜΠΕΡΑΤΟΣ ΑΝΔΡΕΑΣ (ΟΧΙ ΣΚ) (ΣΤΗΝ ΑΝΑΓΚΗ 1 ΒΑΥΔΜ ΣΚ)</t>
        </is>
      </c>
      <c r="C42" t="inlineStr">
        <is>
          <t>reserve</t>
        </is>
      </c>
    </row>
    <row r="43">
      <c r="A43" s="35" t="n">
        <v>46109</v>
      </c>
      <c r="B43" t="inlineStr">
        <is>
          <t>ΜΙΧΑΛΙΩΔΗΣ ΔΟΥΚΑΣ ΤΑΞΙΑΡΧΗΣ</t>
        </is>
      </c>
      <c r="C43" t="inlineStr">
        <is>
          <t>reserve</t>
        </is>
      </c>
    </row>
    <row r="44">
      <c r="A44" s="35" t="n">
        <v>46110</v>
      </c>
      <c r="B44" t="inlineStr">
        <is>
          <t>ΜΗΤΣΟΥ ΜΑΡΙΟΣ ΝΑΠΟΛΕΩΝ</t>
        </is>
      </c>
      <c r="C44" t="inlineStr">
        <is>
          <t>regular</t>
        </is>
      </c>
    </row>
    <row r="45">
      <c r="A45" s="35" t="n">
        <v>46110</v>
      </c>
      <c r="B45" t="inlineStr">
        <is>
          <t>ΘΕΟΦΙΛΟΓΙΑΝΝΑΚΟΣ ΒΑΣΙΛΕΙΟΣ</t>
        </is>
      </c>
      <c r="C45" t="inlineStr">
        <is>
          <t>regular</t>
        </is>
      </c>
    </row>
    <row r="46">
      <c r="A46" s="35" t="n">
        <v>46110</v>
      </c>
      <c r="B46" t="inlineStr">
        <is>
          <t>ΚΙΝΙΝΗΣ ΔΗΜΗΤΡΙΟΣ</t>
        </is>
      </c>
      <c r="C46" t="inlineStr">
        <is>
          <t>regular</t>
        </is>
      </c>
    </row>
    <row r="47">
      <c r="A47" s="35" t="n">
        <v>46110</v>
      </c>
      <c r="B47" t="inlineStr">
        <is>
          <t>ΜΑΓΚΟΣ ΓΕΩΡΓΙΟΣ(ΜΟΝΟ ΒΑΥΔΜ ΕΣΤ)</t>
        </is>
      </c>
      <c r="C47" t="inlineStr">
        <is>
          <t>regular</t>
        </is>
      </c>
    </row>
    <row r="48">
      <c r="A48" s="35" t="n">
        <v>46110</v>
      </c>
      <c r="B48" t="inlineStr">
        <is>
          <t>ΚΟΥΤΣΟΣ ΑΘΑΝΑΣΙΟΣ</t>
        </is>
      </c>
      <c r="C48" t="inlineStr">
        <is>
          <t>regular</t>
        </is>
      </c>
    </row>
    <row r="49">
      <c r="A49" s="35" t="n">
        <v>46110</v>
      </c>
      <c r="B49" t="inlineStr">
        <is>
          <t>ΕΥΑΓΓΕΛΙΝΟΣ ΜΙΧΑΗΛ</t>
        </is>
      </c>
      <c r="C49" t="inlineStr">
        <is>
          <t>reserve</t>
        </is>
      </c>
    </row>
    <row r="50">
      <c r="A50" s="35" t="n">
        <v>46110</v>
      </c>
      <c r="B50" t="inlineStr">
        <is>
          <t>ΜΑΝΩΛΟΥΔΗΣ ΣΠΥΡΙΔΩΝ</t>
        </is>
      </c>
      <c r="C50" t="inlineStr">
        <is>
          <t>reserve</t>
        </is>
      </c>
    </row>
    <row r="51">
      <c r="A51" s="35" t="n">
        <v>46111</v>
      </c>
      <c r="B51" t="inlineStr">
        <is>
          <t>ΜΥΡΤΑ ΡΕΝΑΤΟ</t>
        </is>
      </c>
      <c r="C51" t="inlineStr">
        <is>
          <t>regular</t>
        </is>
      </c>
    </row>
    <row r="52">
      <c r="A52" s="35" t="n">
        <v>46111</v>
      </c>
      <c r="B52" t="inlineStr">
        <is>
          <t>ΒΑΚΑΛΗΣ ΑΝΤΩΝΙΟΣ</t>
        </is>
      </c>
      <c r="C52" t="inlineStr">
        <is>
          <t>regular</t>
        </is>
      </c>
    </row>
    <row r="53">
      <c r="A53" s="35" t="n">
        <v>46111</v>
      </c>
      <c r="B53" t="inlineStr">
        <is>
          <t>ΑΛΕΞΑΝΔΡΑΚΗΣ ΠΑΝΑΓΙΩΤΗΣ</t>
        </is>
      </c>
      <c r="C53" t="inlineStr">
        <is>
          <t>regular</t>
        </is>
      </c>
    </row>
    <row r="54">
      <c r="A54" s="35" t="n">
        <v>46111</v>
      </c>
      <c r="B54" t="inlineStr">
        <is>
          <t>ΠΑΡΑΣΧΑΚΗΣ ΔΗΜΗΤΡΙΟΣ</t>
        </is>
      </c>
      <c r="C54" t="inlineStr">
        <is>
          <t>regular</t>
        </is>
      </c>
    </row>
    <row r="55">
      <c r="A55" s="35" t="n">
        <v>46111</v>
      </c>
      <c r="B55" t="inlineStr">
        <is>
          <t>ΚΥΡΙΑΚΙΔΗΣ ΧΡΗΣΤΟΣ</t>
        </is>
      </c>
      <c r="C55" t="inlineStr">
        <is>
          <t>regular</t>
        </is>
      </c>
    </row>
    <row r="56">
      <c r="A56" s="35" t="n">
        <v>46111</v>
      </c>
      <c r="B56" t="inlineStr">
        <is>
          <t>ΡΟΥΣΚΑΣ ΔΗΜΗΤΡΙΟΣ</t>
        </is>
      </c>
      <c r="C56" t="inlineStr">
        <is>
          <t>regular</t>
        </is>
      </c>
    </row>
    <row r="57">
      <c r="A57" s="35" t="n">
        <v>46111</v>
      </c>
      <c r="B57" t="inlineStr">
        <is>
          <t>ΤΣΕΛΕΠΙΔΗΣ ΣΑΒΒΑΣ</t>
        </is>
      </c>
      <c r="C57" t="inlineStr">
        <is>
          <t>regular</t>
        </is>
      </c>
    </row>
    <row r="58">
      <c r="A58" s="35" t="n">
        <v>46111</v>
      </c>
      <c r="B58" t="inlineStr">
        <is>
          <t>ΠΟΛΥΖΩΓΟΠΟΥΛΟΣ ΑΝΔΡΕΑΣ</t>
        </is>
      </c>
      <c r="C58" t="inlineStr">
        <is>
          <t>reserve</t>
        </is>
      </c>
    </row>
    <row r="59">
      <c r="A59" s="35" t="n">
        <v>46111</v>
      </c>
      <c r="B59" t="inlineStr">
        <is>
          <t>ΣΑΓΙΑΝΝΗΣ ΓΕΩΡΓΙΟΣ</t>
        </is>
      </c>
      <c r="C59" t="inlineStr">
        <is>
          <t>reserve</t>
        </is>
      </c>
    </row>
    <row r="60">
      <c r="A60" s="35" t="n">
        <v>46112</v>
      </c>
      <c r="B60" t="inlineStr">
        <is>
          <t>ΧΕΙΡΔΑΡΗΣ ΚΩΝΣΤΑΝΤΙΝΟΣ</t>
        </is>
      </c>
      <c r="C60" t="inlineStr">
        <is>
          <t>regular</t>
        </is>
      </c>
    </row>
    <row r="61">
      <c r="A61" s="35" t="n">
        <v>46112</v>
      </c>
      <c r="B61" t="inlineStr">
        <is>
          <t>ΣΤΕΡΓΙΟΥ ΜΙΧΑΗΛ</t>
        </is>
      </c>
      <c r="C61" t="inlineStr">
        <is>
          <t>regular</t>
        </is>
      </c>
    </row>
    <row r="62">
      <c r="A62" s="35" t="n">
        <v>46112</v>
      </c>
      <c r="B62" t="inlineStr">
        <is>
          <t>ΓΙΑΝΝΑΚΟΠΟΥΛΟΣ ΑΛΕΞΑΝΔΡΟΣ</t>
        </is>
      </c>
      <c r="C62" t="inlineStr">
        <is>
          <t>regular</t>
        </is>
      </c>
    </row>
    <row r="63">
      <c r="A63" s="35" t="n">
        <v>46112</v>
      </c>
      <c r="B63" t="inlineStr">
        <is>
          <t>ΠΑΝΟΥΣΗΣ ΚΩΝΣΤΑΝΤΙΝΟΣ</t>
        </is>
      </c>
      <c r="C63" t="inlineStr">
        <is>
          <t>regular</t>
        </is>
      </c>
    </row>
    <row r="64">
      <c r="A64" s="35" t="n">
        <v>46112</v>
      </c>
      <c r="B64" t="inlineStr">
        <is>
          <t>ΧΙΟΝΑΣ ΔΗΜΗΤΡΙΟΣ</t>
        </is>
      </c>
      <c r="C64" t="inlineStr">
        <is>
          <t>regular</t>
        </is>
      </c>
    </row>
    <row r="65">
      <c r="A65" s="35" t="n">
        <v>46112</v>
      </c>
      <c r="B65" t="inlineStr">
        <is>
          <t>ΑΚΡΙΒΟΣ ΝΙΚΟΛΑΟΣ</t>
        </is>
      </c>
      <c r="C65" t="inlineStr">
        <is>
          <t>regular</t>
        </is>
      </c>
    </row>
    <row r="66">
      <c r="A66" s="35" t="n">
        <v>46112</v>
      </c>
      <c r="B66" t="inlineStr">
        <is>
          <t>ΒΛΑΧΟΣ ΜΑΡΙΟΣ</t>
        </is>
      </c>
      <c r="C66" t="inlineStr">
        <is>
          <t>reserve</t>
        </is>
      </c>
    </row>
    <row r="67">
      <c r="A67" s="35" t="n">
        <v>46112</v>
      </c>
      <c r="B67" t="inlineStr">
        <is>
          <t>ΕΛΕΥΘΕΡΙΟΥ ΑΝΤΩΝΙΟΣ</t>
        </is>
      </c>
      <c r="C67" t="inlineStr">
        <is>
          <t>reserve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C4"/>
  <sheetViews>
    <sheetView workbookViewId="0">
      <selection activeCell="A4" sqref="A4:XFD4"/>
    </sheetView>
  </sheetViews>
  <sheetFormatPr baseColWidth="8" defaultRowHeight="14.5"/>
  <cols>
    <col width="25" customWidth="1" min="1" max="1"/>
    <col width="14" customWidth="1" min="2" max="3"/>
  </cols>
  <sheetData>
    <row r="1">
      <c r="A1" t="inlineStr">
        <is>
          <t>ΟΝΟΜΑ</t>
        </is>
      </c>
      <c r="B1" t="inlineStr">
        <is>
          <t>ΑΠΟ</t>
        </is>
      </c>
      <c r="C1" t="inlineStr">
        <is>
          <t>ΕΩΣ</t>
        </is>
      </c>
    </row>
    <row r="2">
      <c r="A2" s="9" t="inlineStr">
        <is>
          <t>ΚΑΡΑΜΑΝΗΣ ΝΙΚΟΛΑΟΣ</t>
        </is>
      </c>
      <c r="B2" s="12" t="n">
        <v>46119</v>
      </c>
      <c r="C2" s="12" t="n">
        <v>46123</v>
      </c>
    </row>
    <row r="3">
      <c r="A3" s="9" t="inlineStr">
        <is>
          <t>ΣΠΥΡΟΠΟΥΛΟΣ ΔΙΟΝΥΣΙΟΣ</t>
        </is>
      </c>
      <c r="B3" s="12" t="n">
        <v>46086</v>
      </c>
      <c r="C3" s="12" t="n">
        <v>46089</v>
      </c>
    </row>
    <row r="4">
      <c r="A4" s="9" t="inlineStr">
        <is>
          <t>ΧΟΣΑΦΙ ΑΡΜΠΗ</t>
        </is>
      </c>
      <c r="B4" s="12" t="n">
        <v>46089</v>
      </c>
      <c r="C4" s="12" t="n">
        <v>46093</v>
      </c>
    </row>
  </sheetData>
  <conditionalFormatting sqref="A2">
    <cfRule type="expression" priority="3" dxfId="0">
      <formula>OR($A2="Σάββατο",$A2="Κυριακή")</formula>
    </cfRule>
  </conditionalFormatting>
  <conditionalFormatting sqref="A3">
    <cfRule type="expression" priority="2" dxfId="0">
      <formula>OR($A3="Σάββατο",$A3="Κυριακή")</formula>
    </cfRule>
  </conditionalFormatting>
  <conditionalFormatting sqref="A4">
    <cfRule type="expression" priority="1" dxfId="0">
      <formula>OR($A4="Σάββατο",$A4="Κυριακή")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M31"/>
  <sheetViews>
    <sheetView workbookViewId="0">
      <selection activeCell="A1" sqref="A1"/>
    </sheetView>
  </sheetViews>
  <sheetFormatPr baseColWidth="8" defaultRowHeight="14.5"/>
  <sheetData>
    <row r="1">
      <c r="A1" s="35" t="n">
        <v>46082</v>
      </c>
      <c r="C1" t="inlineStr">
        <is>
          <t>ΒΕΛΙΣΣΑΡΗΣ ΙΩΑΝΝΗΣ 1 ΥΠ ΤΟΝ ΜΗΝΑ (ΜΛΣΝ) (ΔΕΥΤΕΡΗ ΣΤΗΝ ΑΝΑΓΚΗ)</t>
        </is>
      </c>
      <c r="D1" t="inlineStr">
        <is>
          <t>ΚΑΠΕΤΑΝΟΥ ΑΛΕΞΑΝΔΡΟΣ (1 ΥΠ ΤΟΝ ΕΝΑ ΜΗΝΑ / 2 ΥΠ ΤΟΝ ΕΠΟΜΕΝΟ ΚΑΙ ΕΝΑΛΑΞ)</t>
        </is>
      </c>
      <c r="E1" t="inlineStr">
        <is>
          <t>ΣΥΝΟΔΙΝΟΣ ΕΡΩΤΟΚΡΙΤΟΣ</t>
        </is>
      </c>
      <c r="G1" t="inlineStr">
        <is>
          <t>ΑΓΓΕΛΟΓΙΑΝΝΟΠΟΥΛΟΣ ΜΑΡΙΟΣ</t>
        </is>
      </c>
      <c r="I1" t="inlineStr">
        <is>
          <t>ΧΑΤΖΗΓΕΩΡΓΙΟΥ ΔΗΜΗΤΡΙΟΣ</t>
        </is>
      </c>
      <c r="K1" t="inlineStr">
        <is>
          <t>ΒΟΛΤΥΡΑΚΗΣ ΧΡΗΣΤΟΣ (MONO ΒΑΥΔΜ)</t>
        </is>
      </c>
      <c r="L1" t="inlineStr">
        <is>
          <t>ΑΚΡΙΒΟΣ ΝΙΚΟΛΑΟΣ</t>
        </is>
      </c>
      <c r="M1" t="inlineStr">
        <is>
          <t>ΝΑΥΤΗΣ ΑΝΑΣΤΑΣΙΟΣ (Ι4 ΒΑΥΔΜ)</t>
        </is>
      </c>
    </row>
    <row r="2">
      <c r="A2" s="35" t="n">
        <v>46083</v>
      </c>
      <c r="C2" t="inlineStr">
        <is>
          <t>ΓΚΟΣΔΗΣ ΦΩΤΙΟΣ</t>
        </is>
      </c>
      <c r="D2" t="inlineStr">
        <is>
          <t>ΔΑΣΟΥΛΑΣ ΓΕΩΡΓΙΟΣ</t>
        </is>
      </c>
      <c r="E2" t="inlineStr">
        <is>
          <t>ΕΛΕΥΘΕΡΙΟΥ ΑΝΤΩΝΙΟΣ</t>
        </is>
      </c>
      <c r="G2" t="inlineStr">
        <is>
          <t>ΓΙΑΝΝΟΓΛΟΥ ΠΑΡΘΕΝΙΟΣ ΑΓΓΕΛΟΣ</t>
        </is>
      </c>
      <c r="I2" t="inlineStr">
        <is>
          <t>ΠΡΑΓΓΙΔΗΣ ΣΩΤΗΡΙΟΣ</t>
        </is>
      </c>
      <c r="J2" t="inlineStr">
        <is>
          <t>ΣΚΥΛΑΚΑΚΗΣ ΑΡΙΣΤΕΙΔΗΣ</t>
        </is>
      </c>
      <c r="K2" t="inlineStr">
        <is>
          <t>ΚΑΠΟΥΛΑΣ ΗΛΙΑΣ</t>
        </is>
      </c>
      <c r="L2" t="inlineStr">
        <is>
          <t>ΒΑΚΑΛΗΣ ΑΝΤΩΝΙΟΣ</t>
        </is>
      </c>
      <c r="M2" t="inlineStr">
        <is>
          <t>ΚΩΣΤΟΓΙΑΝΝΗΣ ΓΕΩΡΓΙΟΣ</t>
        </is>
      </c>
    </row>
    <row r="3">
      <c r="A3" s="35" t="n">
        <v>46084</v>
      </c>
      <c r="C3" t="inlineStr">
        <is>
          <t>ΚΑΡΑΙΣΚΑΚΗΣ ΓΕΩΡΓΙΟΣ (1ΥΠ)(ΜΟΝΟ ΚΑΘ)</t>
        </is>
      </c>
      <c r="D3" t="inlineStr">
        <is>
          <t>ΚΑΡΑΜΑΝΗΣ ΝΙΚΟΛΑΟΣ</t>
        </is>
      </c>
      <c r="G3" t="inlineStr">
        <is>
          <t>ΚΑΒΟΥΡΑΣ ΣΤΑΜΑΤΗΣ</t>
        </is>
      </c>
      <c r="H3" t="inlineStr">
        <is>
          <t>ΚΑΛΑΡΓΥΡΟΣ ΝΙΚΟΛΑΟΣ</t>
        </is>
      </c>
      <c r="I3" t="inlineStr">
        <is>
          <t>ΕΥΑΓΓΕΛΙΝΟΣ ΜΙΧΑΗΛ</t>
        </is>
      </c>
      <c r="K3" t="inlineStr">
        <is>
          <t>ΚΑΚΟΥΡΑΣ ΓΕΩΡΓΙΟΣ</t>
        </is>
      </c>
      <c r="L3" t="inlineStr">
        <is>
          <t>ΔΟΥΜΑΝΟΓΛΟΥ ΗΛΙΑΣ</t>
        </is>
      </c>
      <c r="M3" t="inlineStr">
        <is>
          <t>ΑΒΡΑΜΗΛΑΣ ΓΕΩΡΓΙΟΣ Π. (ΟΧΙ ΜΛΣΝ)</t>
        </is>
      </c>
    </row>
    <row r="4">
      <c r="A4" s="35" t="n">
        <v>46085</v>
      </c>
      <c r="C4" t="inlineStr">
        <is>
          <t>ΜΑΛΤΑΣ ΓΕΩΡΓΙΟΣ</t>
        </is>
      </c>
      <c r="D4" t="inlineStr">
        <is>
          <t>ΜΗΤΣΟΥ ΜΑΡΙΟΣ ΝΑΠΟΛΕΩΝ</t>
        </is>
      </c>
      <c r="E4" t="inlineStr">
        <is>
          <t>ΜΠΑΓΚΑΣ ΠΑΡΑΣΚΕΥΑΣ</t>
        </is>
      </c>
      <c r="G4" t="inlineStr">
        <is>
          <t>ΛΥΚΟΥΡΑΣ ΛΑΜΠΡΟΣ</t>
        </is>
      </c>
      <c r="I4" t="inlineStr">
        <is>
          <t>ΜΑΝΩΛΟΥΔΗΣ ΣΠΥΡΙΔΩΝ</t>
        </is>
      </c>
      <c r="J4" t="inlineStr">
        <is>
          <t>ΜΠΑΡΑΛΗΣ ΗΛΙΑΣ</t>
        </is>
      </c>
      <c r="K4" t="inlineStr">
        <is>
          <t>ΑΠΟΣΤΟΛΟΥ ΚΩΝΣΤΑΝΤΙΝΟΣ</t>
        </is>
      </c>
      <c r="L4" t="inlineStr">
        <is>
          <t>ΘΕΟΦΙΛΟΓΙΑΝΝΑΚΟΣ ΒΑΣΙΛΕΙΟΣ</t>
        </is>
      </c>
      <c r="M4" t="inlineStr">
        <is>
          <t>ΧΑΤΖΗΓΕΩΡΓΙΟΥ ΔΗΜΗΤΡΙΟΣ</t>
        </is>
      </c>
    </row>
    <row r="5">
      <c r="A5" s="35" t="n">
        <v>46086</v>
      </c>
      <c r="C5" t="inlineStr">
        <is>
          <t>ΠΑΡΓΑΣ ΚΩΝΣΤΑΝΤΙΝΟΣ</t>
        </is>
      </c>
      <c r="D5" t="inlineStr">
        <is>
          <t>ΠΕΤΥΧΑΚΗΣ ΚΩΝΣΤΑΝΤΙΝΟΣ</t>
        </is>
      </c>
      <c r="G5" t="inlineStr">
        <is>
          <t>ΠΑΝΟΥΣΗΣ ΚΩΝΣΤΑΝΤΙΝΟΣ</t>
        </is>
      </c>
      <c r="H5" t="inlineStr">
        <is>
          <t>ΠΑΠΑΔΟΠΟΥΛΟΣ ΚΩΝΣΤΑΝΤΙΝΟΣ</t>
        </is>
      </c>
      <c r="I5" t="inlineStr">
        <is>
          <t>ΠΑΥΛΑΚΗΣ ΙΩΑΝΝΗΣ ΠΑΝΑΓΙΩΤΗΣ</t>
        </is>
      </c>
      <c r="K5" t="inlineStr">
        <is>
          <t>ΖΑΡΜΑΚΟΥΠΗΣ ΓΕΩΡΓΙΟΣ</t>
        </is>
      </c>
      <c r="L5" t="inlineStr">
        <is>
          <t>ΘΩΜΟΠΟΥΛΟΣ ΔΗΜΗΤΡΙΟΣ (ΜΟΝΟ ΚΑΘΗΜΕΡΙΝΕΣ, ΜΠΟΡΕΙ ΚΑΙ Χ2 ΤΗΝ ΒΔΟΜΑΔΑ)</t>
        </is>
      </c>
      <c r="M5" t="inlineStr">
        <is>
          <t>ΤΣΕΛΕΠΙΔΗΣ ΣΑΒΒΑΣ</t>
        </is>
      </c>
    </row>
    <row r="6">
      <c r="A6" s="35" t="n">
        <v>46087</v>
      </c>
      <c r="C6" t="inlineStr">
        <is>
          <t>ΣΠΥΡΙΔΗΣ ΟΡΕΣΤΗΣ</t>
        </is>
      </c>
      <c r="D6" t="inlineStr">
        <is>
          <t>ΣΤΑΜΑΤΟΓΛΟΥ ΔΗΜΗΤΡΙΟΣ</t>
        </is>
      </c>
      <c r="E6" t="inlineStr">
        <is>
          <t>ΣΤΕΡΓΙΟΥ ΜΙΧΑΗΛ</t>
        </is>
      </c>
      <c r="G6" t="inlineStr">
        <is>
          <t>ΡΑΒΑΝΗΣ ΙΩΑΝΝΗΣ</t>
        </is>
      </c>
      <c r="I6" t="inlineStr">
        <is>
          <t>ΣΤΡΑΤΟΣ ΒΑΣΙΛΕΙΟΣ</t>
        </is>
      </c>
      <c r="J6" t="inlineStr">
        <is>
          <t>ΤΟΥΝΤΑΣ ΝΙΚΟΛΑΟΣ</t>
        </is>
      </c>
      <c r="K6" t="inlineStr">
        <is>
          <t>ΜΙΧΑΛΙΩΔΗΣ ΔΟΥΚΑΣ ΤΑΞΙΑΡΧΗΣ</t>
        </is>
      </c>
      <c r="L6" t="inlineStr">
        <is>
          <t>ΚΑΡΑΣΑΒΒΑΣ ΠΑΝΤΕΛΕΗΜΩΝ</t>
        </is>
      </c>
      <c r="M6" t="inlineStr">
        <is>
          <t>ΚΑΚΟΥΡΑΣ ΓΕΩΡΓΙΟΣ</t>
        </is>
      </c>
    </row>
    <row r="7">
      <c r="A7" s="35" t="n">
        <v>46088</v>
      </c>
      <c r="C7" t="inlineStr">
        <is>
          <t>ΦΙΝΕΣ ΛΟΥΚΑΣ</t>
        </is>
      </c>
      <c r="D7" t="inlineStr">
        <is>
          <t>ΧΙΟΝΑΣ ΔΗΜΗΤΡΙΟΣ</t>
        </is>
      </c>
      <c r="E7" t="inlineStr">
        <is>
          <t>ΧΡΥΣΑΝΘΟΣ ΑΝΤΩΝΙΟΣ ΔΑΛΕΖΙΟΣ</t>
        </is>
      </c>
      <c r="G7" t="inlineStr">
        <is>
          <t>ΦΕΡΓΑΔΗΣ ΚΩΝΣΤΑΝΤΙΝΟΣ</t>
        </is>
      </c>
      <c r="I7" t="inlineStr">
        <is>
          <t>ΧΟΣΑΦΙ ΑΡΜΠΗ</t>
        </is>
      </c>
      <c r="K7" t="inlineStr">
        <is>
          <t>ΣΑΓΙΑΝΝΗΣ ΓΕΩΡΓΙΟΣ</t>
        </is>
      </c>
      <c r="L7" t="inlineStr">
        <is>
          <t>ΕΛΜΑΛΙΚΛΗΣ ΔΗΜΗΤΡΙΟΣ</t>
        </is>
      </c>
      <c r="M7" t="inlineStr">
        <is>
          <t>ΜΑΣΟΥΡΗΣ ΚΩΝΣΤΑΝΤΙΝΟΣ</t>
        </is>
      </c>
    </row>
    <row r="8">
      <c r="A8" s="35" t="n">
        <v>46089</v>
      </c>
      <c r="C8" t="inlineStr">
        <is>
          <t>ΓΑΡΓΑΛΗΣ ΒΑΣΙΛΕΙΟΣ 1-2 ΜΗΝΑ</t>
        </is>
      </c>
      <c r="D8" t="inlineStr">
        <is>
          <t>ΔΟΥΜΑΝΟΓΛΟΥ ΗΛΙΑΣ</t>
        </is>
      </c>
      <c r="E8" t="inlineStr">
        <is>
          <t>ΚΑΤΣΑΡΑΣ ΒΑΣΙΛΕΙΟΣ</t>
        </is>
      </c>
      <c r="G8" t="inlineStr">
        <is>
          <t>ΓΚΙΟΝΑΙ ΟΡΕΣΤΗ</t>
        </is>
      </c>
      <c r="I8" t="inlineStr">
        <is>
          <t>ΚΟΥΛΟΠΟΥΛΟΣ ΓΕΡΑΣΙΜΟΣ</t>
        </is>
      </c>
      <c r="K8" t="inlineStr">
        <is>
          <t>ΝΑΥΤΗΣ ΑΝΑΣΤΑΣΙΟΣ (Ι4 ΒΑΥΔΜ)</t>
        </is>
      </c>
      <c r="L8" t="inlineStr">
        <is>
          <t>ΚΙΝΙΝΗΣ ΔΗΜΗΤΡΙΟΣ</t>
        </is>
      </c>
      <c r="M8" t="inlineStr">
        <is>
          <t>ΑΠΟΣΤΟΛΟΥ ΚΩΝΣΤΑΝΤΙΝΟΣ</t>
        </is>
      </c>
    </row>
    <row r="9">
      <c r="A9" s="35" t="n">
        <v>46090</v>
      </c>
      <c r="C9" t="inlineStr">
        <is>
          <t>ΠΑΠΑΓΕΩΡΓΙΟΥ ΛΟΥΚΑΣ ΑΛΕΞΑΝΔΡΟΣ 1-2 ΜΗΝΑ</t>
        </is>
      </c>
      <c r="D9" t="inlineStr">
        <is>
          <t>ΠΑΡΑΣΧΑΚΗΣ ΔΗΜΗΤΡΙΟΣ</t>
        </is>
      </c>
      <c r="E9" t="inlineStr">
        <is>
          <t>ΠΟΤΟΛΙΑΣ ΑΝΑΣΤΑΣΙΟΣ</t>
        </is>
      </c>
      <c r="G9" t="inlineStr">
        <is>
          <t>ΚΑΤΣΕΝΙΟΣ ΑΘΑΝ. 1 ΕΤΑΦ 3 ΒΑΥΔΜ</t>
        </is>
      </c>
      <c r="I9" t="inlineStr">
        <is>
          <t>ΜΠΕΛΗΣ ΑΧΙΛΛΕΑΣ</t>
        </is>
      </c>
      <c r="J9" t="inlineStr">
        <is>
          <t>ΠΑΠΑΘΑΝΑΣΙΟΥ ΑΛΕΞΑΝΔΡΟΣ</t>
        </is>
      </c>
      <c r="K9" t="inlineStr">
        <is>
          <t>ΧΑΤΖΗΓΕΩΡΓΙΟΥ ΔΗΜΗΤΡΙΟΣ</t>
        </is>
      </c>
      <c r="L9" t="inlineStr">
        <is>
          <t>ΜΙΧΑΛΙΩΔΗΣ ΔΟΥΚΑΣ ΤΑΞΙΑΡΧΗΣ</t>
        </is>
      </c>
      <c r="M9" t="inlineStr">
        <is>
          <t>ΓΙΑΝΝΑΚΟΠΟΥΛΟΣ ΑΛΕΞΑΝΔΡΟΣ</t>
        </is>
      </c>
    </row>
    <row r="10">
      <c r="A10" s="35" t="n">
        <v>46091</v>
      </c>
      <c r="C10" t="inlineStr">
        <is>
          <t>ΣΠΥΡΟΠΟΥΛΟΣ ΔΙΟΝΥΣΙΟΣ</t>
        </is>
      </c>
      <c r="D10" t="inlineStr">
        <is>
          <t>ΤΡΙΑΝΤΑΦΥΛΛΟΥ ΦΡΑΓΚΙΣΚΟΣ</t>
        </is>
      </c>
      <c r="G10" t="inlineStr">
        <is>
          <t>ΜΠΑΖΑΝΗΣ ΘΩΜΑΣ ΝΙΚΟΛΑΟΣ (ΚΑΘ ΠΡΟΤΙΜΗΣΗ)</t>
        </is>
      </c>
      <c r="H10" t="inlineStr">
        <is>
          <t>ΠΑΠΠΑΣ ΕΛΕΥΘΕΡΙΟΣ</t>
        </is>
      </c>
      <c r="I10" t="inlineStr">
        <is>
          <t>ΤΖΙΩΤΑΚΗΣ ΓΕΩΡΓΙΟΣ</t>
        </is>
      </c>
      <c r="K10" t="inlineStr">
        <is>
          <t>ΚΑΚΟΥΡΑΣ ΓΕΩΡΓΙΟΣ</t>
        </is>
      </c>
      <c r="L10" t="inlineStr">
        <is>
          <t>ΜΠΟΥΚΟΥΡΑΣ ΕΠΑΜΕΙΝΩΝΔΑΣ</t>
        </is>
      </c>
      <c r="M10" t="inlineStr">
        <is>
          <t>ΕΛΕΥΘΕΡΙΟΥ ΑΝΤΩΝΙΟΣ</t>
        </is>
      </c>
    </row>
    <row r="11">
      <c r="A11" s="35" t="n">
        <v>46092</v>
      </c>
      <c r="C11" t="inlineStr">
        <is>
          <t>ΜΠΑΡΑΛΗΣ ΗΛΙΑΣ</t>
        </is>
      </c>
      <c r="D11" t="inlineStr">
        <is>
          <t>ΑΛΕΞΑΝΔΡΑΚΗΣ ΠΑΝΑΓΙΩΤΗΣ</t>
        </is>
      </c>
      <c r="E11" t="inlineStr">
        <is>
          <t>ΔΑΡΜΑΡΑΚΗΣ ΠΑΝΑΓΙΩΤΗΣ (ΜΟΝΟ ΚΑΘΗΜ)</t>
        </is>
      </c>
      <c r="G11" t="inlineStr">
        <is>
          <t>ΑΠΟΣΤΟΛΟΥ ΚΩΝΣΤΑΝΤΙΝΟΣ</t>
        </is>
      </c>
      <c r="I11" t="inlineStr">
        <is>
          <t>ΣΙΑΓΚΑΣ ΑΘΑΝΑΣΙΟΣ</t>
        </is>
      </c>
      <c r="J11" t="inlineStr">
        <is>
          <t>ΒΑΣΙΛΟΠΟΥΛΟΣ ΧΡΥΣΟΒΑΛΆΝΤΗΣ</t>
        </is>
      </c>
      <c r="K11" t="inlineStr">
        <is>
          <t>ΚΥΡΙΑΚΙΔΗΣ ΧΡΗΣΤΟΣ</t>
        </is>
      </c>
      <c r="L11" t="inlineStr">
        <is>
          <t>ΠΗΓΑΚΗΣ ΝΙΚΟΛΑΟΣ ΜΙΧΑΗΛ (Ι2) (ΤΡΙΤΗ-ΤΕΤΑΡΤΗ)</t>
        </is>
      </c>
      <c r="M11" t="inlineStr">
        <is>
          <t>ΚΑΛΑΡΓΥΡΟΣ ΝΙΚΟΛΑΟΣ</t>
        </is>
      </c>
    </row>
    <row r="12">
      <c r="A12" s="35" t="n">
        <v>46093</v>
      </c>
      <c r="C12" t="inlineStr">
        <is>
          <t>ΣΤΑΜΟΥ ΙΩΑΝΝΗΣ</t>
        </is>
      </c>
      <c r="D12" t="inlineStr">
        <is>
          <t>ΕΥΑΓΓΕΛΙΝΟΣ ΜΙΧΑΗΛ</t>
        </is>
      </c>
      <c r="G12" t="inlineStr">
        <is>
          <t>ΓΙΑΝΝΑΚΟΠΟΥΛΟΣ ΑΛΕΞΑΝΔΡΟΣ</t>
        </is>
      </c>
      <c r="H12" t="inlineStr">
        <is>
          <t>ΚΑΡΑΚΩΣΤΑΣ ΧΑΡΑΛΑΜΠΟΣ</t>
        </is>
      </c>
      <c r="I12" t="inlineStr">
        <is>
          <t>ΔΑΣΟΥΛΑΣ ΓΕΩΡΓΙΟΣ</t>
        </is>
      </c>
      <c r="K12" t="inlineStr">
        <is>
          <t>ΜΗΤΣΟΥ ΜΑΡΙΟΣ ΝΑΠΟΛΕΩΝ</t>
        </is>
      </c>
      <c r="L12" t="inlineStr">
        <is>
          <t>ΣΑΓΙΑΝΝΗΣ ΓΕΩΡΓΙΟΣ</t>
        </is>
      </c>
      <c r="M12" t="inlineStr">
        <is>
          <t>ΛΥΚΟΥΡΑΣ ΛΑΜΠΡΟΣ</t>
        </is>
      </c>
    </row>
    <row r="13">
      <c r="A13" s="35" t="n">
        <v>46094</v>
      </c>
      <c r="C13" t="inlineStr">
        <is>
          <t>ΕΛΕΥΘΕΡΙΟΥ ΑΝΤΩΝΙΟΣ</t>
        </is>
      </c>
      <c r="D13" t="inlineStr">
        <is>
          <t>ΠΑΝΟΥΣΗΣ ΚΩΝΣΤΑΝΤΙΝΟΣ</t>
        </is>
      </c>
      <c r="E13" t="inlineStr">
        <is>
          <t>ΣΤΡΑΤΟΣ ΒΑΣΙΛΕΙΟΣ</t>
        </is>
      </c>
      <c r="G13" t="inlineStr">
        <is>
          <t>ΛΥΜΠΕΡΑΤΟΣ ΑΝΔΡΕΑΣ (ΟΧΙ ΣΚ) (ΣΤΗΝ ΑΝΑΓΚΗ 1 ΒΑΥΔΜ ΣΚ)</t>
        </is>
      </c>
      <c r="I13" t="inlineStr">
        <is>
          <t>ΧΕΙΡΔΑΡΗΣ ΚΩΝΣΤΑΝΤΙΝΟΣ</t>
        </is>
      </c>
      <c r="J13" t="inlineStr">
        <is>
          <t>ΣΠΥΡΙΔΗΣ ΟΡΕΣΤΗΣ</t>
        </is>
      </c>
      <c r="K13" t="inlineStr">
        <is>
          <t>ΒΕΪΟΓΛΑΝΗΣ ΙΩΑΝΝΗΣ (ΒΑΥΔΜ)</t>
        </is>
      </c>
      <c r="L13" t="inlineStr">
        <is>
          <t>ΣΤΑΜΑΤΟΓΛΟΥ ΔΗΜΗΤΡΙΟΣ</t>
        </is>
      </c>
      <c r="M13" t="inlineStr">
        <is>
          <t>ΜΑΝΩΛΟΥΔΗΣ ΣΠΥΡΙΔΩΝ</t>
        </is>
      </c>
    </row>
    <row r="14">
      <c r="A14" s="35" t="n">
        <v>46095</v>
      </c>
      <c r="C14" t="inlineStr">
        <is>
          <t>ΜΥΡΤΑ ΡΕΝΑΤΟ</t>
        </is>
      </c>
      <c r="D14" t="inlineStr">
        <is>
          <t>ΣΑΡΑΚΙΝΤΣΗΣ ΜΑΡΙΟΣ</t>
        </is>
      </c>
      <c r="E14" t="inlineStr">
        <is>
          <t>ΜΙΧΑΛΙΩΔΗΣ ΔΟΥΚΑΣ ΤΑΞΙΑΡΧΗΣ</t>
        </is>
      </c>
      <c r="G14" t="inlineStr">
        <is>
          <t>ΜΑΣΟΥΡΗΣ ΚΩΝΣΤΑΝΤΙΝΟΣ</t>
        </is>
      </c>
      <c r="I14" t="inlineStr">
        <is>
          <t>ΒΛΑΧΟΣ ΜΑΡΙΟΣ</t>
        </is>
      </c>
      <c r="K14" t="inlineStr">
        <is>
          <t>ΚΑΛΑΡΓΥΡΟΣ ΝΙΚΟΛΑΟΣ</t>
        </is>
      </c>
      <c r="L14" t="inlineStr">
        <is>
          <t>ΣΑΡΑΚΙΝΤΣΗΣ ΣΤΥΛΙΑΝΟΣ</t>
        </is>
      </c>
      <c r="M14" t="inlineStr">
        <is>
          <t>ΜΠΑΡΑΛΗΣ ΗΛΙΑΣ</t>
        </is>
      </c>
    </row>
    <row r="15">
      <c r="A15" s="35" t="n">
        <v>46096</v>
      </c>
      <c r="C15" t="inlineStr">
        <is>
          <t>ΔΙΑΜΑΝΤΟΠΟΥΛΟΣ ΑΝΔΡΕΑΣ (ΣΚ)</t>
        </is>
      </c>
      <c r="D15" t="inlineStr">
        <is>
          <t>ΚΑΡΑΣΑΒΒΑΣ ΠΑΝΤΕΛΕΗΜΩΝ</t>
        </is>
      </c>
      <c r="E15" t="inlineStr">
        <is>
          <t>ΡΟΥΣΚΑΣ ΔΗΜΗΤΡΙΟΣ</t>
        </is>
      </c>
      <c r="G15" t="inlineStr">
        <is>
          <t>ΑΛΕΞΑΝΔΡΙΔΗΣ ΣΤΑΥΡΟΣ</t>
        </is>
      </c>
      <c r="I15" t="inlineStr">
        <is>
          <t>ΠΛΕΜΜΕΝΟΣ ΠΡΟΔΡΟΜΟΣ</t>
        </is>
      </c>
      <c r="K15" t="inlineStr">
        <is>
          <t>ΠΑΣΤΡΑΣ ΑΓΓΕΛΟΣ (ΒΑΥΔΜ)</t>
        </is>
      </c>
      <c r="L15" t="inlineStr">
        <is>
          <t>ΤΖΙΩΤΑΚΗΣ ΓΕΩΡΓΙΟΣ</t>
        </is>
      </c>
      <c r="M15" t="inlineStr">
        <is>
          <t>ΠΑΠΑΔΟΠΟΥΛΟΣ ΚΩΝΣΤΑΝΤΙΝΟΣ</t>
        </is>
      </c>
    </row>
    <row r="16">
      <c r="A16" s="35" t="n">
        <v>46097</v>
      </c>
      <c r="C16" t="inlineStr">
        <is>
          <t>ΜΠΟΥΚΟΥΡΑΣ ΕΠΑΜΕΙΝΩΝΔΑΣ</t>
        </is>
      </c>
      <c r="D16" t="inlineStr">
        <is>
          <t>ΣΤΑΜΑΤΟΓΛΟΥ ΔΗΜΗΤΡΙΟΣ</t>
        </is>
      </c>
      <c r="E16" t="inlineStr">
        <is>
          <t>ΦΙΝΕΣ ΛΟΥΚΑΣ</t>
        </is>
      </c>
      <c r="G16" t="inlineStr">
        <is>
          <t>ΣΤΕΡΓΙΟΥ ΜΙΧΑΗΛ</t>
        </is>
      </c>
      <c r="I16" t="inlineStr">
        <is>
          <t>ΚΙΝΙΝΗΣ ΔΗΜΗΤΡΙΟΣ</t>
        </is>
      </c>
      <c r="J16" t="inlineStr">
        <is>
          <t>ΑΓΓΕΛΟΓΙΑΝΝΟΠΟΥΛΟΣ ΜΑΡΙΟΣ</t>
        </is>
      </c>
      <c r="K16" t="inlineStr">
        <is>
          <t>ΧΙΟΝΑΣ ΔΗΜΗΤΡΙΟΣ</t>
        </is>
      </c>
      <c r="L16" t="inlineStr">
        <is>
          <t>ΑΠΟΣΤΟΛΟΥ ΚΩΝΣΤΑΝΤΙΝΟΣ</t>
        </is>
      </c>
      <c r="M16" t="inlineStr">
        <is>
          <t>ΠΑΠΑΘΑΝΑΣΙΟΥ ΑΛΕΞΑΝΔΡΟΣ</t>
        </is>
      </c>
    </row>
    <row r="17">
      <c r="A17" s="35" t="n">
        <v>46098</v>
      </c>
      <c r="C17" t="inlineStr">
        <is>
          <t>ΘΕΟΦΙΛΟΓΙΑΝΝΑΚΟΣ ΒΑΣΙΛΕΙΟΣ</t>
        </is>
      </c>
      <c r="D17" t="inlineStr">
        <is>
          <t>ΖΑΡΜΑΚΟΥΠΗΣ ΓΕΩΡΓΙΟΣ</t>
        </is>
      </c>
      <c r="G17" t="inlineStr">
        <is>
          <t>ΓΑΡΓΑΛΗΣ ΒΑΣΙΛΕΙΟΣ 1-2 ΜΗΝΑ</t>
        </is>
      </c>
      <c r="H17" t="inlineStr">
        <is>
          <t>ΧΟΣΑΦΙ ΑΡΜΠΗ</t>
        </is>
      </c>
      <c r="I17" t="inlineStr">
        <is>
          <t>ΜΑΝΩΛΟΥΔΗΣ ΣΠΥΡΙΔΩΝ</t>
        </is>
      </c>
      <c r="K17" t="inlineStr">
        <is>
          <t>ΤΣΟΡΩΤΑΣ ΧΑΡΑΛΑΜΠΟΣ (Ι3 ΑΟΠΛΟ)</t>
        </is>
      </c>
      <c r="L17" t="inlineStr">
        <is>
          <t>ΔΟΥΜΑΝΟΓΛΟΥ ΗΛΙΑΣ</t>
        </is>
      </c>
      <c r="M17" t="inlineStr">
        <is>
          <t>ΠΑΡΑΣΧΑΚΗΣ ΔΗΜΗΤΡΙΟΣ</t>
        </is>
      </c>
    </row>
    <row r="18">
      <c r="A18" s="35" t="n">
        <v>46099</v>
      </c>
      <c r="C18" t="inlineStr">
        <is>
          <t>ΣΠΥΡΟΠΟΥΛΟΣ ΔΙΟΝΥΣΙΟΣ</t>
        </is>
      </c>
      <c r="D18" t="inlineStr">
        <is>
          <t>ΕΛΜΑΛΙΚΛΗΣ ΔΗΜΗΤΡΙΟΣ</t>
        </is>
      </c>
      <c r="E18" t="inlineStr">
        <is>
          <t>ΒΑΣΙΛΟΠΟΥΛΟΣ ΧΡΥΣΟΒΑΛΆΝΤΗΣ</t>
        </is>
      </c>
      <c r="G18" t="inlineStr">
        <is>
          <t>ΓΙΑΝΝΟΓΛΟΥ ΠΑΡΘΕΝΙΟΣ ΑΓΓΕΛΟΣ</t>
        </is>
      </c>
      <c r="I18" t="inlineStr">
        <is>
          <t>ΚΤΕΝΑΣ ΘΩΜΑΣ (ΜΟΝΟ ΚΑΘΗΜ)</t>
        </is>
      </c>
      <c r="J18" t="inlineStr">
        <is>
          <t>ΚΩΝΣΤΑΝΤΙΝΙΔΗΣ ΙΩΑΝΝΗΣ</t>
        </is>
      </c>
      <c r="K18" t="inlineStr">
        <is>
          <t>ΠΙΕΡΡΟΣ ΠΑΝΑΓΙΩΤΗΣ (Ι2)</t>
        </is>
      </c>
      <c r="L18" t="inlineStr">
        <is>
          <t>ΛΥΚΟΥΡΑΣ ΛΑΜΠΡΟΣ</t>
        </is>
      </c>
      <c r="M18" t="inlineStr">
        <is>
          <t>ΠΛΕΜΜΕΝΟΣ ΠΡΟΔΡΟΜΟΣ</t>
        </is>
      </c>
    </row>
    <row r="19">
      <c r="A19" s="35" t="n">
        <v>46100</v>
      </c>
      <c r="C19" t="inlineStr">
        <is>
          <t>ΘΩΜΟΠΟΥΛΟΣ ΔΗΜΗΤΡΙΟΣ (ΜΟΝΟ ΚΑΘΗΜΕΡΙΝΕΣ, ΜΠΟΡΕΙ ΚΑΙ Χ2 ΤΗΝ ΒΔΟΜΑΔΑ)</t>
        </is>
      </c>
      <c r="D19" t="inlineStr">
        <is>
          <t>ΣΤΑΜΟΥ ΙΩΑΝΝΗΣ</t>
        </is>
      </c>
      <c r="G19" t="inlineStr">
        <is>
          <t>ΦΕΡΓΑΔΗΣ ΚΩΝΣΤΑΝΤΙΝΟΣ</t>
        </is>
      </c>
      <c r="H19" t="inlineStr">
        <is>
          <t>ΜΠΑΡΑΛΗΣ ΗΛΙΑΣ</t>
        </is>
      </c>
      <c r="I19" t="inlineStr">
        <is>
          <t>ΣΑΡΑΚΙΝΤΣΗΣ ΣΤΥΛΙΑΝΟΣ</t>
        </is>
      </c>
      <c r="K19" t="inlineStr">
        <is>
          <t>ΧΑΤΖΗΠΑΝΤΕΛΗΣ ΘΕΟΔΩΡΟΣ ΣΤΥΛΙΑΝΟΣ (ΜΟΝΟ ΒΑΥΔΜ)</t>
        </is>
      </c>
      <c r="L19" t="inlineStr">
        <is>
          <t>ΜΙΧΑΛΙΩΔΗΣ ΔΟΥΚΑΣ ΤΑΞΙΑΡΧΗΣ</t>
        </is>
      </c>
      <c r="M19" t="inlineStr">
        <is>
          <t>ΡΑΒΑΝΗΣ ΙΩΑΝΝΗΣ</t>
        </is>
      </c>
    </row>
    <row r="20">
      <c r="A20" s="35" t="n">
        <v>46101</v>
      </c>
      <c r="C20" t="inlineStr">
        <is>
          <t>ΜΗΤΣΟΥ ΜΑΡΙΟΣ ΝΑΠΟΛΕΩΝ</t>
        </is>
      </c>
      <c r="D20" t="inlineStr">
        <is>
          <t>ΦΟΥΝΤΟΡΑΔΑΚΗΣ ΙΩΣΗΦ (ΠΡΟΤΙΜΗΣΗ ΠΑΡΑΣΚΕΥΗ)</t>
        </is>
      </c>
      <c r="E20" t="inlineStr">
        <is>
          <t>ΔΟΥΜΑΝΟΓΛΟΥ ΗΛΙΑΣ</t>
        </is>
      </c>
      <c r="G20" t="inlineStr">
        <is>
          <t>ΕΥΑΓΓΕΛΙΝΟΣ ΜΙΧΑΗΛ</t>
        </is>
      </c>
      <c r="I20" t="inlineStr">
        <is>
          <t>ΑΠΟΣΤΟΛΟΥ ΚΩΝΣΤΑΝΤΙΝΟΣ</t>
        </is>
      </c>
      <c r="J20" t="inlineStr">
        <is>
          <t>ΧΑΤΖΗΓΕΩΡΓΙΟΥ ΔΗΜΗΤΡΙΟΣ</t>
        </is>
      </c>
      <c r="K20" t="inlineStr">
        <is>
          <t>ΣΠΥΡΙΔΗΣ ΟΡΕΣΤΗΣ</t>
        </is>
      </c>
      <c r="L20" t="inlineStr">
        <is>
          <t>ΣΑΓΙΑΝΝΗΣ ΓΕΩΡΓΙΟΣ</t>
        </is>
      </c>
      <c r="M20" t="inlineStr">
        <is>
          <t>ΣΤΡΑΤΟΣ ΒΑΣΙΛΕΙΟΣ</t>
        </is>
      </c>
    </row>
    <row r="21">
      <c r="A21" s="35" t="n">
        <v>46102</v>
      </c>
      <c r="C21" t="inlineStr">
        <is>
          <t>ΤΖΙΩΤΑΚΗΣ ΓΕΩΡΓΙΟΣ</t>
        </is>
      </c>
      <c r="D21" t="inlineStr">
        <is>
          <t>ΑΛΕΞΑΝΔΡΑΚΗΣ ΠΑΝΑΓΙΩΤΗΣ</t>
        </is>
      </c>
      <c r="E21" t="inlineStr">
        <is>
          <t>ΑΚΡΙΒΟΣ ΝΙΚΟΛΑΟΣ</t>
        </is>
      </c>
      <c r="G21" t="inlineStr">
        <is>
          <t>ΤΣΕΛΕΠΙΔΗΣ ΣΑΒΒΑΣ</t>
        </is>
      </c>
      <c r="I21" t="inlineStr">
        <is>
          <t>ΚΑΚΟΥΡΑΣ ΓΕΩΡΓΙΟΣ</t>
        </is>
      </c>
      <c r="K21" t="inlineStr">
        <is>
          <t>ΚΥΡΙΑΚΙΔΗΣ ΧΡΗΣΤΟΣ</t>
        </is>
      </c>
      <c r="L21" t="inlineStr">
        <is>
          <t>ΚΙΝΙΝΗΣ ΔΗΜΗΤΡΙΟΣ</t>
        </is>
      </c>
      <c r="M21" t="inlineStr">
        <is>
          <t>ΤΡΙΑΝΤΑΦΥΛΛΟΥ ΦΡΑΓΚΙΣΚΟΣ</t>
        </is>
      </c>
    </row>
    <row r="22">
      <c r="A22" s="35" t="n">
        <v>46103</v>
      </c>
      <c r="C22" t="inlineStr">
        <is>
          <t>ΠΑΠΠΑΣ ΕΛΕΥΘΕΡΙΟΣ</t>
        </is>
      </c>
      <c r="D22" t="inlineStr">
        <is>
          <t>ΒΑΚΑΛΗΣ ΑΝΤΩΝΙΟΣ</t>
        </is>
      </c>
      <c r="E22" t="inlineStr">
        <is>
          <t>ΠΟΛΥΖΩΓΟΠΟΥΛΟΣ ΑΝΔΡΕΑΣ</t>
        </is>
      </c>
      <c r="G22" t="inlineStr">
        <is>
          <t>ΚΑΒΟΥΡΑΣ ΣΤΑΜΑΤΗΣ</t>
        </is>
      </c>
      <c r="I22" t="inlineStr">
        <is>
          <t>ΓΙΑΝΝΑΚΟΠΟΥΛΟΣ ΑΛΕΞΑΝΔΡΟΣ</t>
        </is>
      </c>
      <c r="K22" t="inlineStr">
        <is>
          <t>ΧΕΙΡΔΑΡΗΣ ΚΩΝΣΤΑΝΤΙΝΟΣ</t>
        </is>
      </c>
      <c r="L22" t="inlineStr">
        <is>
          <t>ΡΑΒΑΝΗΣ ΙΩΑΝΝΗΣ</t>
        </is>
      </c>
      <c r="M22" t="inlineStr">
        <is>
          <t>ΕΛΕΥΘΕΡΙΟΥ ΑΝΤΩΝΙΟΣ</t>
        </is>
      </c>
    </row>
    <row r="23">
      <c r="A23" s="35" t="n">
        <v>46104</v>
      </c>
      <c r="C23" t="inlineStr">
        <is>
          <t>ΜΙΧΑΛΙΩΔΗΣ ΔΟΥΚΑΣ ΤΑΞΙΑΡΧΗΣ</t>
        </is>
      </c>
      <c r="D23" t="inlineStr">
        <is>
          <t>ΡΟΥΣΚΑΣ ΔΗΜΗΤΡΙΟΣ</t>
        </is>
      </c>
      <c r="E23" t="inlineStr">
        <is>
          <t>ΧΙΟΝΑΣ ΔΗΜΗΤΡΙΟΣ</t>
        </is>
      </c>
      <c r="G23" t="inlineStr">
        <is>
          <t>ΑΓΓΕΛΟΓΙΑΝΝΟΠΟΥΛΟΣ ΜΑΡΙΟΣ</t>
        </is>
      </c>
      <c r="I23" t="inlineStr">
        <is>
          <t>ΑΒΡΑΜΗΛΑΣ ΓΕΩΡΓΙΟΣ Π. (ΟΧΙ ΜΛΣΝ)</t>
        </is>
      </c>
      <c r="J23" t="inlineStr">
        <is>
          <t>ΠΑΝΟΥΣΗΣ ΚΩΝΣΤΑΝΤΙΝΟΣ</t>
        </is>
      </c>
      <c r="K23" t="inlineStr">
        <is>
          <t>ΚΟΥΛΟΠΟΥΛΟΣ ΓΕΡΑΣΙΜΟΣ</t>
        </is>
      </c>
      <c r="L23" t="inlineStr">
        <is>
          <t>ΓΚΟΣΔΗΣ ΦΩΤΙΟΣ</t>
        </is>
      </c>
      <c r="M23" t="inlineStr">
        <is>
          <t>ΜΑΝΩΛΟΥΔΗΣ ΣΠΥΡΙΔΩΝ</t>
        </is>
      </c>
    </row>
    <row r="24">
      <c r="A24" s="35" t="n">
        <v>46105</v>
      </c>
      <c r="C24" t="inlineStr">
        <is>
          <t>ΠΑΠΑΓΕΩΡΓΙΟΥ ΛΟΥΚΑΣ ΑΛΕΞΑΝΔΡΟΣ 1-2 ΜΗΝΑ</t>
        </is>
      </c>
      <c r="D24" t="inlineStr">
        <is>
          <t>ΣΤΕΡΓΙΟΥ ΜΙΧΑΗΛ</t>
        </is>
      </c>
      <c r="G24" t="inlineStr">
        <is>
          <t>ΛΥΜΠΕΡΑΤΟΣ ΑΝΔΡΕΑΣ (ΟΧΙ ΣΚ) (ΣΤΗΝ ΑΝΑΓΚΗ 1 ΒΑΥΔΜ ΣΚ)</t>
        </is>
      </c>
      <c r="H24" t="inlineStr">
        <is>
          <t>ΠΛΕΜΜΕΝΟΣ ΠΡΟΔΡΟΜΟΣ</t>
        </is>
      </c>
      <c r="I24" t="inlineStr">
        <is>
          <t>ΚΩΣΤΟΓΙΑΝΝΗΣ ΓΕΩΡΓΙΟΣ</t>
        </is>
      </c>
      <c r="K24" t="inlineStr">
        <is>
          <t>ΚΑΡΑΣΑΒΒΑΣ ΠΑΝΤΕΛΕΗΜΩΝ</t>
        </is>
      </c>
      <c r="L24" t="inlineStr">
        <is>
          <t>ΒΛΑΧΟΣ ΜΑΡΙΟΣ</t>
        </is>
      </c>
      <c r="M24" t="inlineStr">
        <is>
          <t>ΠΑΠΑΔΟΠΟΥΛΟΣ ΚΩΝΣΤΑΝΤΙΝΟΣ</t>
        </is>
      </c>
    </row>
    <row r="25">
      <c r="A25" s="35" t="n">
        <v>46106</v>
      </c>
      <c r="C25" t="inlineStr">
        <is>
          <t>ΘΕΟΦΙΛΟΓΙΑΝΝΑΚΟΣ ΒΑΣΙΛΕΙΟΣ</t>
        </is>
      </c>
      <c r="D25" t="inlineStr">
        <is>
          <t>ΣΠΥΡΟΠΟΥΛΟΣ ΔΙΟΝΥΣΙΟΣ</t>
        </is>
      </c>
      <c r="E25" t="inlineStr">
        <is>
          <t>ΣΑΓΙΑΝΝΗΣ ΓΕΩΡΓΙΟΣ</t>
        </is>
      </c>
      <c r="G25" t="inlineStr">
        <is>
          <t>ΚΑΛΑΡΓΥΡΟΣ ΝΙΚΟΛΑΟΣ</t>
        </is>
      </c>
      <c r="I25" t="inlineStr">
        <is>
          <t>ΔΑΣΟΥΛΑΣ ΓΕΩΡΓΙΟΣ</t>
        </is>
      </c>
      <c r="J25" t="inlineStr">
        <is>
          <t>ΤΡΙΑΝΤΑΦΥΛΛΟΥ ΦΡΑΓΚΙΣΚΟΣ</t>
        </is>
      </c>
      <c r="K25" t="inlineStr">
        <is>
          <t>ΠΑΣΤΡΑΣ ΑΓΓΕΛΟΣ (ΒΑΥΔΜ)</t>
        </is>
      </c>
      <c r="L25" t="inlineStr">
        <is>
          <t>ΜΑΛΤΑΣ ΓΕΩΡΓΙΟΣ</t>
        </is>
      </c>
      <c r="M25" t="inlineStr">
        <is>
          <t>ΣΑΡΑΚΙΝΤΣΗΣ ΣΤΥΛΙΑΝΟΣ</t>
        </is>
      </c>
    </row>
    <row r="26">
      <c r="A26" s="35" t="n">
        <v>46107</v>
      </c>
      <c r="C26" t="inlineStr">
        <is>
          <t>ΣΤΑΜΟΥ ΙΩΑΝΝΗΣ</t>
        </is>
      </c>
      <c r="D26" t="inlineStr">
        <is>
          <t>ΖΑΡΜΑΚΟΥΠΗΣ ΓΕΩΡΓΙΟΣ</t>
        </is>
      </c>
      <c r="G26" t="inlineStr">
        <is>
          <t>ΚΩΝΣΤΑΝΤΙΝΙΔΗΣ ΙΩΑΝΝΗΣ</t>
        </is>
      </c>
      <c r="H26" t="inlineStr">
        <is>
          <t>ΜΑΝΩΛΟΥΔΗΣ ΣΠΥΡΙΔΩΝ</t>
        </is>
      </c>
      <c r="I26" t="inlineStr">
        <is>
          <t>ΣΤΡΑΤΟΣ ΒΑΣΙΛΕΙΟΣ</t>
        </is>
      </c>
      <c r="K26" t="inlineStr">
        <is>
          <t>ΦΙΝΕΣ ΛΟΥΚΑΣ</t>
        </is>
      </c>
      <c r="L26" t="inlineStr">
        <is>
          <t>ΠΑΠΠΑΣ ΕΛΕΥΘΕΡΙΟΣ</t>
        </is>
      </c>
      <c r="M26" t="inlineStr">
        <is>
          <t>ΤΖΙΩΤΑΚΗΣ ΓΕΩΡΓΙΟΣ</t>
        </is>
      </c>
    </row>
    <row r="27">
      <c r="A27" s="35" t="n">
        <v>46108</v>
      </c>
      <c r="C27" t="inlineStr">
        <is>
          <t>ΜΠΑΡΑΛΗΣ ΗΛΙΑΣ</t>
        </is>
      </c>
      <c r="D27" t="inlineStr">
        <is>
          <t>ΘΩΜΟΠΟΥΛΟΣ ΔΗΜΗΤΡΙΟΣ (ΜΟΝΟ ΚΑΘΗΜΕΡΙΝΕΣ, ΜΠΟΡΕΙ ΚΑΙ Χ2 ΤΗΝ ΒΔΟΜΑΔΑ)</t>
        </is>
      </c>
      <c r="E27" t="inlineStr">
        <is>
          <t>ΒΑΣΙΛΟΠΟΥΛΟΣ ΧΡΥΣΟΒΑΛΆΝΤΗΣ</t>
        </is>
      </c>
      <c r="G27" t="inlineStr">
        <is>
          <t>ΚΙΝΙΝΗΣ ΔΗΜΗΤΡΙΟΣ</t>
        </is>
      </c>
      <c r="I27" t="inlineStr">
        <is>
          <t>ΦΟΥΝΤΟΡΑΔΑΚΗΣ ΙΩΣΗΦ (ΠΡΟΤΙΜΗΣΗ ΠΑΡΑΣΚΕΥΗ)</t>
        </is>
      </c>
      <c r="J27" t="inlineStr">
        <is>
          <t>ΑΠΟΣΤΟΛΟΥ ΚΩΝΣΤΑΝΤΙΝΟΣ</t>
        </is>
      </c>
      <c r="K27" t="inlineStr">
        <is>
          <t>ΠΙΕΡΡΟΣ ΠΑΝΑΓΙΩΤΗΣ (Ι2)</t>
        </is>
      </c>
      <c r="L27" t="inlineStr">
        <is>
          <t>ΣΑΡΑΚΙΝΤΣΗΣ ΜΑΡΙΟΣ</t>
        </is>
      </c>
      <c r="M27" t="inlineStr">
        <is>
          <t>ΕΛΕΥΘΕΡΙΟΥ ΑΝΤΩΝΙΟΣ</t>
        </is>
      </c>
    </row>
    <row r="28">
      <c r="A28" s="35" t="n">
        <v>46109</v>
      </c>
      <c r="C28" t="inlineStr">
        <is>
          <t>ΚΟΥΝΑΝΗΣ ΚΥΡΙΑΚΟΣ</t>
        </is>
      </c>
      <c r="D28" t="inlineStr">
        <is>
          <t>ΜΠΟΥΚΟΥΡΑΣ ΕΠΑΜΕΙΝΩΝΔΑΣ</t>
        </is>
      </c>
      <c r="E28" t="inlineStr">
        <is>
          <t>ΓΙΑΝΝΟΓΛΟΥ ΠΑΡΘΕΝΙΟΣ ΑΓΓΕΛΟΣ</t>
        </is>
      </c>
      <c r="G28" t="inlineStr">
        <is>
          <t>ΣΤΑΜΑΤΟΓΛΟΥ ΔΗΜΗΤΡΙΟΣ</t>
        </is>
      </c>
      <c r="I28" t="inlineStr">
        <is>
          <t>ΣΠΥΡΙΔΗΣ ΟΡΕΣΤΗΣ</t>
        </is>
      </c>
      <c r="K28" t="inlineStr">
        <is>
          <t>ΤΣΟΡΩΤΑΣ ΧΑΡΑΛΑΜΠΟΣ (Ι3 ΑΟΠΛΟ)</t>
        </is>
      </c>
      <c r="L28" t="inlineStr">
        <is>
          <t>ΛΥΜΠΕΡΑΤΟΣ ΑΝΔΡΕΑΣ (ΟΧΙ ΣΚ) (ΣΤΗΝ ΑΝΑΓΚΗ 1 ΒΑΥΔΜ ΣΚ)</t>
        </is>
      </c>
      <c r="M28" t="inlineStr">
        <is>
          <t>ΜΙΧΑΛΙΩΔΗΣ ΔΟΥΚΑΣ ΤΑΞΙΑΡΧΗΣ</t>
        </is>
      </c>
    </row>
    <row r="29">
      <c r="A29" s="35" t="n">
        <v>46110</v>
      </c>
      <c r="C29" t="inlineStr">
        <is>
          <t>ΜΗΤΣΟΥ ΜΑΡΙΟΣ ΝΑΠΟΛΕΩΝ</t>
        </is>
      </c>
      <c r="D29" t="inlineStr">
        <is>
          <t>ΘΕΟΦΙΛΟΓΙΑΝΝΑΚΟΣ ΒΑΣΙΛΕΙΟΣ</t>
        </is>
      </c>
      <c r="E29" t="inlineStr">
        <is>
          <t>ΚΙΝΙΝΗΣ ΔΗΜΗΤΡΙΟΣ</t>
        </is>
      </c>
      <c r="I29" t="inlineStr">
        <is>
          <t>ΜΑΓΚΟΣ ΓΕΩΡΓΙΟΣ(ΜΟΝΟ ΒΑΥΔΜ ΕΣΤ)</t>
        </is>
      </c>
      <c r="K29" t="inlineStr">
        <is>
          <t>ΚΟΥΤΣΟΣ ΑΘΑΝΑΣΙΟΣ</t>
        </is>
      </c>
      <c r="L29" t="inlineStr">
        <is>
          <t>ΕΥΑΓΓΕΛΙΝΟΣ ΜΙΧΑΗΛ</t>
        </is>
      </c>
      <c r="M29" t="inlineStr">
        <is>
          <t>ΜΑΝΩΛΟΥΔΗΣ ΣΠΥΡΙΔΩΝ</t>
        </is>
      </c>
    </row>
    <row r="30">
      <c r="A30" s="35" t="n">
        <v>46111</v>
      </c>
      <c r="C30" t="inlineStr">
        <is>
          <t>ΜΥΡΤΑ ΡΕΝΑΤΟ</t>
        </is>
      </c>
      <c r="D30" t="inlineStr">
        <is>
          <t>ΒΑΚΑΛΗΣ ΑΝΤΩΝΙΟΣ</t>
        </is>
      </c>
      <c r="E30" t="inlineStr">
        <is>
          <t>ΑΛΕΞΑΝΔΡΑΚΗΣ ΠΑΝΑΓΙΩΤΗΣ</t>
        </is>
      </c>
      <c r="G30" t="inlineStr">
        <is>
          <t>ΠΑΡΑΣΧΑΚΗΣ ΔΗΜΗΤΡΙΟΣ</t>
        </is>
      </c>
      <c r="I30" t="inlineStr">
        <is>
          <t>ΚΥΡΙΑΚΙΔΗΣ ΧΡΗΣΤΟΣ</t>
        </is>
      </c>
      <c r="J30" t="inlineStr">
        <is>
          <t>ΡΟΥΣΚΑΣ ΔΗΜΗΤΡΙΟΣ</t>
        </is>
      </c>
      <c r="K30" t="inlineStr">
        <is>
          <t>ΤΣΕΛΕΠΙΔΗΣ ΣΑΒΒΑΣ</t>
        </is>
      </c>
      <c r="L30" t="inlineStr">
        <is>
          <t>ΠΟΛΥΖΩΓΟΠΟΥΛΟΣ ΑΝΔΡΕΑΣ</t>
        </is>
      </c>
      <c r="M30" t="inlineStr">
        <is>
          <t>ΣΑΓΙΑΝΝΗΣ ΓΕΩΡΓΙΟΣ</t>
        </is>
      </c>
    </row>
    <row r="31">
      <c r="A31" s="35" t="n">
        <v>46112</v>
      </c>
      <c r="C31" t="inlineStr">
        <is>
          <t>ΧΕΙΡΔΑΡΗΣ ΚΩΝΣΤΑΝΤΙΝΟΣ</t>
        </is>
      </c>
      <c r="D31" t="inlineStr">
        <is>
          <t>ΣΤΕΡΓΙΟΥ ΜΙΧΑΗΛ</t>
        </is>
      </c>
      <c r="G31" t="inlineStr">
        <is>
          <t>ΓΙΑΝΝΑΚΟΠΟΥΛΟΣ ΑΛΕΞΑΝΔΡΟΣ</t>
        </is>
      </c>
      <c r="H31" t="inlineStr">
        <is>
          <t>ΠΑΝΟΥΣΗΣ ΚΩΝΣΤΑΝΤΙΝΟΣ</t>
        </is>
      </c>
      <c r="I31" t="inlineStr">
        <is>
          <t>ΧΙΟΝΑΣ ΔΗΜΗΤΡΙΟΣ</t>
        </is>
      </c>
      <c r="K31" t="inlineStr">
        <is>
          <t>ΑΚΡΙΒΟΣ ΝΙΚΟΛΑΟΣ</t>
        </is>
      </c>
      <c r="L31" t="inlineStr">
        <is>
          <t>ΒΛΑΧΟΣ ΜΑΡΙΟΣ</t>
        </is>
      </c>
      <c r="M31" t="inlineStr">
        <is>
          <t>ΕΛΕΥΘΕΡΙΟΥ ΑΝΤΩΝΙΟΣ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E4"/>
  <sheetViews>
    <sheetView workbookViewId="0">
      <selection activeCell="A4" sqref="A4"/>
    </sheetView>
  </sheetViews>
  <sheetFormatPr baseColWidth="8" defaultRowHeight="14.5"/>
  <cols>
    <col width="16" customWidth="1" min="1" max="1"/>
    <col width="14" customWidth="1" min="2" max="3"/>
    <col width="14" customWidth="1" min="3" max="3"/>
    <col width="32" bestFit="1" customWidth="1" min="4" max="4"/>
    <col width="70" customWidth="1" min="5" max="5"/>
  </cols>
  <sheetData>
    <row r="1">
      <c r="A1" s="34" t="inlineStr">
        <is>
          <t>ΗΜΕΡΟΜΗΝΙΑ</t>
        </is>
      </c>
      <c r="B1" s="34" t="inlineStr">
        <is>
          <t>ΗΜΕΡΑ</t>
        </is>
      </c>
      <c r="C1" s="34" t="inlineStr">
        <is>
          <t>SLOT</t>
        </is>
      </c>
      <c r="D1" s="34" t="inlineStr">
        <is>
          <t>ΟΝΟΜΑ</t>
        </is>
      </c>
      <c r="E1" s="34" t="inlineStr">
        <is>
          <t>ΠΑΡΑΒΑΣΗ</t>
        </is>
      </c>
    </row>
    <row r="2">
      <c r="A2" s="35" t="n">
        <v>46110</v>
      </c>
      <c r="B2" t="inlineStr">
        <is>
          <t>Κυριακή</t>
        </is>
      </c>
      <c r="C2" t="inlineStr">
        <is>
          <t>ΕΤΑΦ1</t>
        </is>
      </c>
      <c r="D2" t="inlineStr">
        <is>
          <t>—</t>
        </is>
      </c>
      <c r="E2" s="36" t="inlineStr">
        <is>
          <t>Κενό slot — δεν βρέθηκε υποψήφιος (ή χρειάζεται χειροκίνητη ανάθεση)</t>
        </is>
      </c>
    </row>
    <row r="3">
      <c r="A3" s="35" t="n">
        <v>46110</v>
      </c>
      <c r="B3" t="inlineStr">
        <is>
          <t>—</t>
        </is>
      </c>
      <c r="C3" t="inlineStr">
        <is>
          <t>—</t>
        </is>
      </c>
      <c r="D3" t="inlineStr">
        <is>
          <t>ΘΕΟΦΙΛΟΓΙΑΝΝΑΚΟΣ ΒΑΣΙΛΕΙΟΣ</t>
        </is>
      </c>
      <c r="E3" s="36" t="inlineStr">
        <is>
          <t>min_gap παραβίαση: 4 μέρες μεταξύ 2026-03-25 και 2026-03-29 (min=7)</t>
        </is>
      </c>
    </row>
    <row r="4">
      <c r="A4" s="35" t="n">
        <v>46110</v>
      </c>
      <c r="B4" t="inlineStr">
        <is>
          <t>—</t>
        </is>
      </c>
      <c r="C4" t="inlineStr">
        <is>
          <t>—</t>
        </is>
      </c>
      <c r="D4" t="inlineStr">
        <is>
          <t>ΚΙΝΙΝΗΣ ΔΗΜΗΤΡΙΟΣ</t>
        </is>
      </c>
      <c r="E4" s="36" t="inlineStr">
        <is>
          <t>min_gap παραβίαση: 2 μέρες μεταξύ 2026-03-27 και 2026-03-29 (min=7)</t>
        </is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2026-03-08T17:13:35Z</dcterms:created>
  <dcterms:modified xsi:type="dcterms:W3CDTF">2026-03-22T21:43:35Z</dcterms:modified>
  <cp:lastModifiedBy>bill theo</cp:lastModifiedBy>
</cp:coreProperties>
</file>